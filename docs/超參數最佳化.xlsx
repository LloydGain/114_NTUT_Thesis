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ff0\OneDrive\桌面\115_NTUT_Thesis\docs\"/>
    </mc:Choice>
  </mc:AlternateContent>
  <xr:revisionPtr revIDLastSave="0" documentId="13_ncr:1_{DDD91B29-C801-4E5E-8DF0-B977D15F9C05}" xr6:coauthVersionLast="47" xr6:coauthVersionMax="47" xr10:uidLastSave="{00000000-0000-0000-0000-000000000000}"/>
  <bookViews>
    <workbookView xWindow="-105" yWindow="0" windowWidth="23910" windowHeight="20985" xr2:uid="{3A9B5E0C-DC67-4F4D-8154-8348E63E8D3D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B40" i="1" l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6" i="1"/>
  <c r="P35" i="1"/>
  <c r="Q35" i="1"/>
  <c r="R35" i="1"/>
  <c r="S35" i="1"/>
  <c r="T35" i="1"/>
  <c r="U35" i="1"/>
  <c r="P36" i="1"/>
  <c r="Q36" i="1"/>
  <c r="R36" i="1"/>
  <c r="S36" i="1"/>
  <c r="T36" i="1"/>
  <c r="U36" i="1"/>
  <c r="P37" i="1"/>
  <c r="Q37" i="1"/>
  <c r="R37" i="1"/>
  <c r="S37" i="1"/>
  <c r="T37" i="1"/>
  <c r="U37" i="1"/>
  <c r="P38" i="1"/>
  <c r="Q38" i="1"/>
  <c r="R38" i="1"/>
  <c r="S38" i="1"/>
  <c r="T38" i="1"/>
  <c r="U38" i="1"/>
  <c r="P39" i="1"/>
  <c r="Q39" i="1"/>
  <c r="R39" i="1"/>
  <c r="S39" i="1"/>
  <c r="T39" i="1"/>
  <c r="U39" i="1"/>
  <c r="P40" i="1"/>
  <c r="Q40" i="1"/>
  <c r="R40" i="1"/>
  <c r="S40" i="1"/>
  <c r="T40" i="1"/>
  <c r="U40" i="1"/>
  <c r="P41" i="1"/>
  <c r="Q41" i="1"/>
  <c r="R41" i="1"/>
  <c r="S41" i="1"/>
  <c r="T41" i="1"/>
  <c r="U41" i="1"/>
  <c r="P42" i="1"/>
  <c r="Q42" i="1"/>
  <c r="R42" i="1"/>
  <c r="S42" i="1"/>
  <c r="T42" i="1"/>
  <c r="U42" i="1"/>
  <c r="P43" i="1"/>
  <c r="Q43" i="1"/>
  <c r="R43" i="1"/>
  <c r="S43" i="1"/>
  <c r="T43" i="1"/>
  <c r="U43" i="1"/>
  <c r="P44" i="1"/>
  <c r="Q44" i="1"/>
  <c r="R44" i="1"/>
  <c r="S44" i="1"/>
  <c r="T44" i="1"/>
  <c r="U44" i="1"/>
  <c r="P45" i="1"/>
  <c r="Q45" i="1"/>
  <c r="R45" i="1"/>
  <c r="S45" i="1"/>
  <c r="T45" i="1"/>
  <c r="U45" i="1"/>
  <c r="P46" i="1"/>
  <c r="Q46" i="1"/>
  <c r="R46" i="1"/>
  <c r="S46" i="1"/>
  <c r="T46" i="1"/>
  <c r="U46" i="1"/>
  <c r="P47" i="1"/>
  <c r="Q47" i="1"/>
  <c r="R47" i="1"/>
  <c r="S47" i="1"/>
  <c r="T47" i="1"/>
  <c r="U47" i="1"/>
  <c r="P48" i="1"/>
  <c r="Q48" i="1"/>
  <c r="R48" i="1"/>
  <c r="S48" i="1"/>
  <c r="T48" i="1"/>
  <c r="U48" i="1"/>
  <c r="P49" i="1"/>
  <c r="Q49" i="1"/>
  <c r="R49" i="1"/>
  <c r="S49" i="1"/>
  <c r="T49" i="1"/>
  <c r="U49" i="1"/>
  <c r="P50" i="1"/>
  <c r="Q50" i="1"/>
  <c r="R50" i="1"/>
  <c r="S50" i="1"/>
  <c r="T50" i="1"/>
  <c r="U50" i="1"/>
  <c r="P51" i="1"/>
  <c r="Q51" i="1"/>
  <c r="R51" i="1"/>
  <c r="S51" i="1"/>
  <c r="T51" i="1"/>
  <c r="U51" i="1"/>
  <c r="P52" i="1"/>
  <c r="Q52" i="1"/>
  <c r="R52" i="1"/>
  <c r="S52" i="1"/>
  <c r="T52" i="1"/>
  <c r="U52" i="1"/>
  <c r="P53" i="1"/>
  <c r="Q53" i="1"/>
  <c r="R53" i="1"/>
  <c r="S53" i="1"/>
  <c r="T53" i="1"/>
  <c r="U53" i="1"/>
  <c r="P54" i="1"/>
  <c r="Q54" i="1"/>
  <c r="R54" i="1"/>
  <c r="S54" i="1"/>
  <c r="T54" i="1"/>
  <c r="U54" i="1"/>
  <c r="P55" i="1"/>
  <c r="Q55" i="1"/>
  <c r="R55" i="1"/>
  <c r="S55" i="1"/>
  <c r="T55" i="1"/>
  <c r="U55" i="1"/>
  <c r="P56" i="1"/>
  <c r="Q56" i="1"/>
  <c r="R56" i="1"/>
  <c r="S56" i="1"/>
  <c r="T56" i="1"/>
  <c r="U56" i="1"/>
  <c r="P57" i="1"/>
  <c r="Q57" i="1"/>
  <c r="R57" i="1"/>
  <c r="S57" i="1"/>
  <c r="T57" i="1"/>
  <c r="U57" i="1"/>
  <c r="P58" i="1"/>
  <c r="Q58" i="1"/>
  <c r="R58" i="1"/>
  <c r="S58" i="1"/>
  <c r="T58" i="1"/>
  <c r="U58" i="1"/>
  <c r="P59" i="1"/>
  <c r="Q59" i="1"/>
  <c r="R59" i="1"/>
  <c r="S59" i="1"/>
  <c r="T59" i="1"/>
  <c r="U59" i="1"/>
  <c r="P60" i="1"/>
  <c r="Q60" i="1"/>
  <c r="R60" i="1"/>
  <c r="S60" i="1"/>
  <c r="T60" i="1"/>
  <c r="U60" i="1"/>
  <c r="P61" i="1"/>
  <c r="Q61" i="1"/>
  <c r="R61" i="1"/>
  <c r="S61" i="1"/>
  <c r="T61" i="1"/>
  <c r="U61" i="1"/>
  <c r="P62" i="1"/>
  <c r="Q62" i="1"/>
  <c r="R62" i="1"/>
  <c r="S62" i="1"/>
  <c r="T62" i="1"/>
  <c r="U62" i="1"/>
  <c r="P63" i="1"/>
  <c r="Q63" i="1"/>
  <c r="R63" i="1"/>
  <c r="S63" i="1"/>
  <c r="T63" i="1"/>
  <c r="U63" i="1"/>
  <c r="P64" i="1"/>
  <c r="Q64" i="1"/>
  <c r="R64" i="1"/>
  <c r="S64" i="1"/>
  <c r="T64" i="1"/>
  <c r="U64" i="1"/>
  <c r="P65" i="1"/>
  <c r="Q65" i="1"/>
  <c r="R65" i="1"/>
  <c r="S65" i="1"/>
  <c r="T65" i="1"/>
  <c r="U65" i="1"/>
  <c r="P66" i="1"/>
  <c r="Q66" i="1"/>
  <c r="R66" i="1"/>
  <c r="S66" i="1"/>
  <c r="T66" i="1"/>
  <c r="U66" i="1"/>
  <c r="F35" i="1"/>
  <c r="G35" i="1"/>
  <c r="H35" i="1"/>
  <c r="I35" i="1"/>
  <c r="J35" i="1"/>
  <c r="K35" i="1"/>
  <c r="L35" i="1"/>
  <c r="M35" i="1"/>
  <c r="N35" i="1"/>
  <c r="O35" i="1"/>
  <c r="F36" i="1"/>
  <c r="G36" i="1"/>
  <c r="H36" i="1"/>
  <c r="I36" i="1"/>
  <c r="J36" i="1"/>
  <c r="K36" i="1"/>
  <c r="L36" i="1"/>
  <c r="M36" i="1"/>
  <c r="N36" i="1"/>
  <c r="O36" i="1"/>
  <c r="F37" i="1"/>
  <c r="G37" i="1"/>
  <c r="H37" i="1"/>
  <c r="I37" i="1"/>
  <c r="J37" i="1"/>
  <c r="K37" i="1"/>
  <c r="L37" i="1"/>
  <c r="M37" i="1"/>
  <c r="N37" i="1"/>
  <c r="O37" i="1"/>
  <c r="F38" i="1"/>
  <c r="G38" i="1"/>
  <c r="H38" i="1"/>
  <c r="I38" i="1"/>
  <c r="J38" i="1"/>
  <c r="K38" i="1"/>
  <c r="L38" i="1"/>
  <c r="M38" i="1"/>
  <c r="N38" i="1"/>
  <c r="O38" i="1"/>
  <c r="F39" i="1"/>
  <c r="G39" i="1"/>
  <c r="H39" i="1"/>
  <c r="I39" i="1"/>
  <c r="J39" i="1"/>
  <c r="K39" i="1"/>
  <c r="L39" i="1"/>
  <c r="M39" i="1"/>
  <c r="N39" i="1"/>
  <c r="O39" i="1"/>
  <c r="F40" i="1"/>
  <c r="G40" i="1"/>
  <c r="H40" i="1"/>
  <c r="I40" i="1"/>
  <c r="J40" i="1"/>
  <c r="K40" i="1"/>
  <c r="L40" i="1"/>
  <c r="M40" i="1"/>
  <c r="N40" i="1"/>
  <c r="O40" i="1"/>
  <c r="F41" i="1"/>
  <c r="G41" i="1"/>
  <c r="H41" i="1"/>
  <c r="I41" i="1"/>
  <c r="J41" i="1"/>
  <c r="K41" i="1"/>
  <c r="L41" i="1"/>
  <c r="M41" i="1"/>
  <c r="N41" i="1"/>
  <c r="O41" i="1"/>
  <c r="F42" i="1"/>
  <c r="G42" i="1"/>
  <c r="H42" i="1"/>
  <c r="I42" i="1"/>
  <c r="J42" i="1"/>
  <c r="K42" i="1"/>
  <c r="L42" i="1"/>
  <c r="M42" i="1"/>
  <c r="N42" i="1"/>
  <c r="O42" i="1"/>
  <c r="F43" i="1"/>
  <c r="G43" i="1"/>
  <c r="H43" i="1"/>
  <c r="I43" i="1"/>
  <c r="J43" i="1"/>
  <c r="K43" i="1"/>
  <c r="L43" i="1"/>
  <c r="M43" i="1"/>
  <c r="N43" i="1"/>
  <c r="O43" i="1"/>
  <c r="F44" i="1"/>
  <c r="G44" i="1"/>
  <c r="H44" i="1"/>
  <c r="I44" i="1"/>
  <c r="J44" i="1"/>
  <c r="K44" i="1"/>
  <c r="L44" i="1"/>
  <c r="M44" i="1"/>
  <c r="N44" i="1"/>
  <c r="O44" i="1"/>
  <c r="F45" i="1"/>
  <c r="G45" i="1"/>
  <c r="H45" i="1"/>
  <c r="I45" i="1"/>
  <c r="J45" i="1"/>
  <c r="K45" i="1"/>
  <c r="L45" i="1"/>
  <c r="M45" i="1"/>
  <c r="N45" i="1"/>
  <c r="O45" i="1"/>
  <c r="F46" i="1"/>
  <c r="G46" i="1"/>
  <c r="H46" i="1"/>
  <c r="I46" i="1"/>
  <c r="J46" i="1"/>
  <c r="K46" i="1"/>
  <c r="L46" i="1"/>
  <c r="M46" i="1"/>
  <c r="N46" i="1"/>
  <c r="O46" i="1"/>
  <c r="F47" i="1"/>
  <c r="G47" i="1"/>
  <c r="H47" i="1"/>
  <c r="I47" i="1"/>
  <c r="J47" i="1"/>
  <c r="K47" i="1"/>
  <c r="L47" i="1"/>
  <c r="M47" i="1"/>
  <c r="N47" i="1"/>
  <c r="O47" i="1"/>
  <c r="F48" i="1"/>
  <c r="G48" i="1"/>
  <c r="H48" i="1"/>
  <c r="I48" i="1"/>
  <c r="J48" i="1"/>
  <c r="K48" i="1"/>
  <c r="L48" i="1"/>
  <c r="M48" i="1"/>
  <c r="N48" i="1"/>
  <c r="O48" i="1"/>
  <c r="F49" i="1"/>
  <c r="G49" i="1"/>
  <c r="H49" i="1"/>
  <c r="I49" i="1"/>
  <c r="J49" i="1"/>
  <c r="K49" i="1"/>
  <c r="L49" i="1"/>
  <c r="M49" i="1"/>
  <c r="N49" i="1"/>
  <c r="O49" i="1"/>
  <c r="F50" i="1"/>
  <c r="G50" i="1"/>
  <c r="H50" i="1"/>
  <c r="I50" i="1"/>
  <c r="J50" i="1"/>
  <c r="K50" i="1"/>
  <c r="L50" i="1"/>
  <c r="M50" i="1"/>
  <c r="N50" i="1"/>
  <c r="O50" i="1"/>
  <c r="F51" i="1"/>
  <c r="G51" i="1"/>
  <c r="H51" i="1"/>
  <c r="I51" i="1"/>
  <c r="J51" i="1"/>
  <c r="K51" i="1"/>
  <c r="L51" i="1"/>
  <c r="M51" i="1"/>
  <c r="N51" i="1"/>
  <c r="O51" i="1"/>
  <c r="F52" i="1"/>
  <c r="G52" i="1"/>
  <c r="H52" i="1"/>
  <c r="I52" i="1"/>
  <c r="J52" i="1"/>
  <c r="K52" i="1"/>
  <c r="L52" i="1"/>
  <c r="M52" i="1"/>
  <c r="N52" i="1"/>
  <c r="O52" i="1"/>
  <c r="F53" i="1"/>
  <c r="G53" i="1"/>
  <c r="H53" i="1"/>
  <c r="I53" i="1"/>
  <c r="J53" i="1"/>
  <c r="K53" i="1"/>
  <c r="L53" i="1"/>
  <c r="M53" i="1"/>
  <c r="N53" i="1"/>
  <c r="O53" i="1"/>
  <c r="F54" i="1"/>
  <c r="G54" i="1"/>
  <c r="H54" i="1"/>
  <c r="I54" i="1"/>
  <c r="J54" i="1"/>
  <c r="K54" i="1"/>
  <c r="L54" i="1"/>
  <c r="M54" i="1"/>
  <c r="N54" i="1"/>
  <c r="O54" i="1"/>
  <c r="F55" i="1"/>
  <c r="G55" i="1"/>
  <c r="H55" i="1"/>
  <c r="I55" i="1"/>
  <c r="J55" i="1"/>
  <c r="K55" i="1"/>
  <c r="L55" i="1"/>
  <c r="M55" i="1"/>
  <c r="N55" i="1"/>
  <c r="O55" i="1"/>
  <c r="F56" i="1"/>
  <c r="G56" i="1"/>
  <c r="H56" i="1"/>
  <c r="I56" i="1"/>
  <c r="J56" i="1"/>
  <c r="K56" i="1"/>
  <c r="L56" i="1"/>
  <c r="M56" i="1"/>
  <c r="N56" i="1"/>
  <c r="O56" i="1"/>
  <c r="F57" i="1"/>
  <c r="G57" i="1"/>
  <c r="H57" i="1"/>
  <c r="I57" i="1"/>
  <c r="J57" i="1"/>
  <c r="K57" i="1"/>
  <c r="L57" i="1"/>
  <c r="M57" i="1"/>
  <c r="N57" i="1"/>
  <c r="O57" i="1"/>
  <c r="F58" i="1"/>
  <c r="G58" i="1"/>
  <c r="H58" i="1"/>
  <c r="I58" i="1"/>
  <c r="J58" i="1"/>
  <c r="K58" i="1"/>
  <c r="L58" i="1"/>
  <c r="M58" i="1"/>
  <c r="N58" i="1"/>
  <c r="O58" i="1"/>
  <c r="F59" i="1"/>
  <c r="G59" i="1"/>
  <c r="H59" i="1"/>
  <c r="I59" i="1"/>
  <c r="J59" i="1"/>
  <c r="K59" i="1"/>
  <c r="L59" i="1"/>
  <c r="M59" i="1"/>
  <c r="N59" i="1"/>
  <c r="O59" i="1"/>
  <c r="F60" i="1"/>
  <c r="G60" i="1"/>
  <c r="H60" i="1"/>
  <c r="I60" i="1"/>
  <c r="J60" i="1"/>
  <c r="K60" i="1"/>
  <c r="L60" i="1"/>
  <c r="M60" i="1"/>
  <c r="N60" i="1"/>
  <c r="O60" i="1"/>
  <c r="F61" i="1"/>
  <c r="G61" i="1"/>
  <c r="H61" i="1"/>
  <c r="I61" i="1"/>
  <c r="J61" i="1"/>
  <c r="K61" i="1"/>
  <c r="L61" i="1"/>
  <c r="M61" i="1"/>
  <c r="N61" i="1"/>
  <c r="O61" i="1"/>
  <c r="F62" i="1"/>
  <c r="G62" i="1"/>
  <c r="H62" i="1"/>
  <c r="I62" i="1"/>
  <c r="J62" i="1"/>
  <c r="K62" i="1"/>
  <c r="L62" i="1"/>
  <c r="M62" i="1"/>
  <c r="N62" i="1"/>
  <c r="O62" i="1"/>
  <c r="F63" i="1"/>
  <c r="G63" i="1"/>
  <c r="H63" i="1"/>
  <c r="I63" i="1"/>
  <c r="J63" i="1"/>
  <c r="K63" i="1"/>
  <c r="L63" i="1"/>
  <c r="M63" i="1"/>
  <c r="N63" i="1"/>
  <c r="O63" i="1"/>
  <c r="F64" i="1"/>
  <c r="G64" i="1"/>
  <c r="H64" i="1"/>
  <c r="I64" i="1"/>
  <c r="J64" i="1"/>
  <c r="K64" i="1"/>
  <c r="L64" i="1"/>
  <c r="M64" i="1"/>
  <c r="N64" i="1"/>
  <c r="O64" i="1"/>
  <c r="F65" i="1"/>
  <c r="G65" i="1"/>
  <c r="H65" i="1"/>
  <c r="I65" i="1"/>
  <c r="J65" i="1"/>
  <c r="K65" i="1"/>
  <c r="L65" i="1"/>
  <c r="M65" i="1"/>
  <c r="N65" i="1"/>
  <c r="O65" i="1"/>
  <c r="F66" i="1"/>
  <c r="G66" i="1"/>
  <c r="H66" i="1"/>
  <c r="I66" i="1"/>
  <c r="J66" i="1"/>
  <c r="K66" i="1"/>
  <c r="L66" i="1"/>
  <c r="M66" i="1"/>
  <c r="N66" i="1"/>
  <c r="O66" i="1"/>
  <c r="C35" i="1"/>
  <c r="D35" i="1"/>
  <c r="E35" i="1"/>
  <c r="C36" i="1"/>
  <c r="D36" i="1"/>
  <c r="E36" i="1"/>
  <c r="C37" i="1"/>
  <c r="D37" i="1"/>
  <c r="E37" i="1"/>
  <c r="C38" i="1"/>
  <c r="D38" i="1"/>
  <c r="E38" i="1"/>
  <c r="C39" i="1"/>
  <c r="D39" i="1"/>
  <c r="E39" i="1"/>
  <c r="C40" i="1"/>
  <c r="D40" i="1"/>
  <c r="E40" i="1"/>
  <c r="C41" i="1"/>
  <c r="D41" i="1"/>
  <c r="E41" i="1"/>
  <c r="C42" i="1"/>
  <c r="D42" i="1"/>
  <c r="E42" i="1"/>
  <c r="C43" i="1"/>
  <c r="D43" i="1"/>
  <c r="E43" i="1"/>
  <c r="C44" i="1"/>
  <c r="D44" i="1"/>
  <c r="E44" i="1"/>
  <c r="C45" i="1"/>
  <c r="D45" i="1"/>
  <c r="E45" i="1"/>
  <c r="C46" i="1"/>
  <c r="D46" i="1"/>
  <c r="E46" i="1"/>
  <c r="C47" i="1"/>
  <c r="D47" i="1"/>
  <c r="E47" i="1"/>
  <c r="C48" i="1"/>
  <c r="D48" i="1"/>
  <c r="E48" i="1"/>
  <c r="C49" i="1"/>
  <c r="D49" i="1"/>
  <c r="E49" i="1"/>
  <c r="C50" i="1"/>
  <c r="D50" i="1"/>
  <c r="E50" i="1"/>
  <c r="C51" i="1"/>
  <c r="D51" i="1"/>
  <c r="E51" i="1"/>
  <c r="C52" i="1"/>
  <c r="D52" i="1"/>
  <c r="E52" i="1"/>
  <c r="C53" i="1"/>
  <c r="D53" i="1"/>
  <c r="E53" i="1"/>
  <c r="C54" i="1"/>
  <c r="D54" i="1"/>
  <c r="E54" i="1"/>
  <c r="C55" i="1"/>
  <c r="D55" i="1"/>
  <c r="E55" i="1"/>
  <c r="C56" i="1"/>
  <c r="D56" i="1"/>
  <c r="E56" i="1"/>
  <c r="C57" i="1"/>
  <c r="D57" i="1"/>
  <c r="E57" i="1"/>
  <c r="C58" i="1"/>
  <c r="D58" i="1"/>
  <c r="E58" i="1"/>
  <c r="C59" i="1"/>
  <c r="D59" i="1"/>
  <c r="E59" i="1"/>
  <c r="C60" i="1"/>
  <c r="D60" i="1"/>
  <c r="E60" i="1"/>
  <c r="C61" i="1"/>
  <c r="D61" i="1"/>
  <c r="E61" i="1"/>
  <c r="C62" i="1"/>
  <c r="D62" i="1"/>
  <c r="E62" i="1"/>
  <c r="C63" i="1"/>
  <c r="D63" i="1"/>
  <c r="E63" i="1"/>
  <c r="C64" i="1"/>
  <c r="D64" i="1"/>
  <c r="E64" i="1"/>
  <c r="C65" i="1"/>
  <c r="D65" i="1"/>
  <c r="E65" i="1"/>
  <c r="C66" i="1"/>
  <c r="D66" i="1"/>
  <c r="E66" i="1"/>
  <c r="B36" i="1" l="1"/>
  <c r="B65" i="1"/>
  <c r="B37" i="1"/>
  <c r="B39" i="1"/>
  <c r="B38" i="1"/>
  <c r="B35" i="1"/>
  <c r="B74" i="1" l="1" a="1"/>
  <c r="B74" i="1" s="1"/>
  <c r="B77" i="1" a="1"/>
  <c r="B77" i="1" s="1"/>
  <c r="C75" i="1" a="1"/>
  <c r="C75" i="1" s="1"/>
  <c r="B78" i="1" a="1"/>
  <c r="B78" i="1" s="1"/>
  <c r="B72" i="1" a="1"/>
  <c r="B72" i="1" s="1"/>
  <c r="D75" i="1" a="1"/>
  <c r="D75" i="1" s="1"/>
  <c r="C78" i="1" a="1"/>
  <c r="C78" i="1" s="1"/>
  <c r="C72" i="1" a="1"/>
  <c r="C72" i="1" s="1"/>
  <c r="C74" i="1" a="1"/>
  <c r="C74" i="1" s="1"/>
  <c r="C73" i="1" a="1"/>
  <c r="C73" i="1" s="1"/>
  <c r="E75" i="1" a="1"/>
  <c r="E75" i="1" s="1"/>
  <c r="E76" i="1" a="1"/>
  <c r="E76" i="1" s="1"/>
  <c r="E77" i="1" a="1"/>
  <c r="E77" i="1" s="1"/>
  <c r="B79" i="1" a="1"/>
  <c r="B79" i="1" s="1"/>
  <c r="E79" i="1" a="1"/>
  <c r="E79" i="1" s="1"/>
  <c r="E80" i="1" a="1"/>
  <c r="E80" i="1" s="1"/>
  <c r="B75" i="1" a="1"/>
  <c r="B75" i="1" s="1"/>
  <c r="D73" i="1" a="1"/>
  <c r="D73" i="1" s="1"/>
  <c r="D76" i="1" a="1"/>
  <c r="D76" i="1" s="1"/>
  <c r="D77" i="1" a="1"/>
  <c r="D77" i="1" s="1"/>
  <c r="D79" i="1" a="1"/>
  <c r="D79" i="1" s="1"/>
  <c r="D80" i="1" a="1"/>
  <c r="D80" i="1" s="1"/>
  <c r="C79" i="1" a="1"/>
  <c r="C79" i="1" s="1"/>
  <c r="B80" i="1" a="1"/>
  <c r="B80" i="1" s="1"/>
  <c r="C80" i="1" a="1"/>
  <c r="C80" i="1" s="1"/>
  <c r="B73" i="1" a="1"/>
  <c r="B73" i="1" s="1"/>
  <c r="C77" i="1" a="1"/>
  <c r="C77" i="1" s="1"/>
  <c r="E72" i="1" a="1"/>
  <c r="E72" i="1" s="1"/>
  <c r="B76" i="1" a="1"/>
  <c r="B76" i="1" s="1"/>
  <c r="D78" i="1" a="1"/>
  <c r="D78" i="1" s="1"/>
  <c r="D74" i="1" a="1"/>
  <c r="D74" i="1" s="1"/>
  <c r="E74" i="1" a="1"/>
  <c r="E74" i="1" s="1"/>
  <c r="D72" i="1" a="1"/>
  <c r="D72" i="1" s="1"/>
  <c r="E73" i="1" a="1"/>
  <c r="E73" i="1" s="1"/>
  <c r="C76" i="1" a="1"/>
  <c r="C76" i="1" s="1"/>
  <c r="E78" i="1" a="1"/>
  <c r="E78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<sst xmlns="http://schemas.openxmlformats.org/spreadsheetml/2006/main" count="47" uniqueCount="47">
  <si>
    <t>[4,4,4,3,2,1,3,2,4]</t>
    <phoneticPr fontId="1" type="noConversion"/>
  </si>
  <si>
    <t>[4,3,3,2,1,4,2,1,3]</t>
    <phoneticPr fontId="1" type="noConversion"/>
  </si>
  <si>
    <t>[4,2,2,1,4,3,1,4,2]</t>
    <phoneticPr fontId="1" type="noConversion"/>
  </si>
  <si>
    <t>[4,1,1,4,3,2,4,3,1]</t>
    <phoneticPr fontId="1" type="noConversion"/>
  </si>
  <si>
    <t>[3,4,3,2,1,4,1,3,3]</t>
    <phoneticPr fontId="1" type="noConversion"/>
  </si>
  <si>
    <t>[3,3,2,1,4,3,4,2,2]</t>
    <phoneticPr fontId="1" type="noConversion"/>
  </si>
  <si>
    <t>[3,2,1,4,3,2,3,1,1]</t>
    <phoneticPr fontId="1" type="noConversion"/>
  </si>
  <si>
    <t>[3,1,4,3,2,1,2,4,4]</t>
    <phoneticPr fontId="1" type="noConversion"/>
  </si>
  <si>
    <t>[2,4,2,1,4,3,3,2,1]</t>
    <phoneticPr fontId="1" type="noConversion"/>
  </si>
  <si>
    <t>[2,3,1,4,3,2,2,1,4]</t>
    <phoneticPr fontId="1" type="noConversion"/>
  </si>
  <si>
    <t>[2,2,4,3,2,1,1,4,3]</t>
    <phoneticPr fontId="1" type="noConversion"/>
  </si>
  <si>
    <t>[2,1,3,2,1,4,4,3,2]</t>
    <phoneticPr fontId="1" type="noConversion"/>
  </si>
  <si>
    <t>[1,4,1,3,2,1,4,3,2]</t>
    <phoneticPr fontId="1" type="noConversion"/>
  </si>
  <si>
    <t>[1,3,4,2,1,4,3,2,1]</t>
    <phoneticPr fontId="1" type="noConversion"/>
  </si>
  <si>
    <t>[1,2,3,1,4,3,2,1,4]</t>
    <phoneticPr fontId="1" type="noConversion"/>
  </si>
  <si>
    <t>[1,1,2,4,3,2,1,4,3]</t>
    <phoneticPr fontId="1" type="noConversion"/>
  </si>
  <si>
    <t>[4,4,3,1,2,1,1,2,3]</t>
    <phoneticPr fontId="1" type="noConversion"/>
  </si>
  <si>
    <t>[4,3,2,4,1,4,4,1,2]</t>
    <phoneticPr fontId="1" type="noConversion"/>
  </si>
  <si>
    <t>[4,2,1,3,4,3,3,4,1]</t>
    <phoneticPr fontId="1" type="noConversion"/>
  </si>
  <si>
    <t>[4,1,4,2,3,2,2,3,4]</t>
    <phoneticPr fontId="1" type="noConversion"/>
  </si>
  <si>
    <t>[3,4,2,3,1,3,2,3,1]</t>
    <phoneticPr fontId="1" type="noConversion"/>
  </si>
  <si>
    <t>[3,3,1,2,4,2,1,2,4]</t>
    <phoneticPr fontId="1" type="noConversion"/>
  </si>
  <si>
    <t>[3,2,4,1,3,1,4,1,3]</t>
    <phoneticPr fontId="1" type="noConversion"/>
  </si>
  <si>
    <t>[3,1,3,4,2,4,3,4,2]</t>
    <phoneticPr fontId="1" type="noConversion"/>
  </si>
  <si>
    <t>[2,4,1,2,3,2,3,1,2]</t>
    <phoneticPr fontId="1" type="noConversion"/>
  </si>
  <si>
    <t>[2,3,4,1,2,1,2,4,1]</t>
    <phoneticPr fontId="1" type="noConversion"/>
  </si>
  <si>
    <t>[2,2,3,4,1,4,1,3,4]</t>
    <phoneticPr fontId="1" type="noConversion"/>
  </si>
  <si>
    <t>[2,1,2,3,4,3,4,2,3]</t>
    <phoneticPr fontId="1" type="noConversion"/>
  </si>
  <si>
    <t>[1,4,4,4,4,4,4,4,4]</t>
    <phoneticPr fontId="1" type="noConversion"/>
  </si>
  <si>
    <t>[1,3,3,3,3,3,3,3,3]</t>
  </si>
  <si>
    <t>[1,2,2,2,2,2,2,2,2]</t>
  </si>
  <si>
    <t>[1,1,1,1,1,1,1,1,1]</t>
  </si>
  <si>
    <t>L32</t>
    <phoneticPr fontId="1" type="noConversion"/>
  </si>
  <si>
    <t>trial</t>
    <phoneticPr fontId="1" type="noConversion"/>
  </si>
  <si>
    <t>ex_pop</t>
    <phoneticPr fontId="1" type="noConversion"/>
  </si>
  <si>
    <t>ex_cross</t>
    <phoneticPr fontId="1" type="noConversion"/>
  </si>
  <si>
    <t>ex_mut</t>
    <phoneticPr fontId="1" type="noConversion"/>
  </si>
  <si>
    <t>all_pop</t>
    <phoneticPr fontId="1" type="noConversion"/>
  </si>
  <si>
    <t>all_cross</t>
    <phoneticPr fontId="1" type="noConversion"/>
  </si>
  <si>
    <t>all_mut</t>
    <phoneticPr fontId="1" type="noConversion"/>
  </si>
  <si>
    <t>sup_rho</t>
    <phoneticPr fontId="1" type="noConversion"/>
  </si>
  <si>
    <t>sup_alpha</t>
    <phoneticPr fontId="1" type="noConversion"/>
  </si>
  <si>
    <t>sup_beta</t>
    <phoneticPr fontId="1" type="noConversion"/>
  </si>
  <si>
    <t>L1</t>
    <phoneticPr fontId="1" type="noConversion"/>
  </si>
  <si>
    <t>L2</t>
    <phoneticPr fontId="1" type="noConversion"/>
  </si>
  <si>
    <t>L3</t>
    <phoneticPr fontId="1" type="noConversion"/>
  </si>
  <si>
    <t>L4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</si>
</sst>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name val="Consolas"/>
      <family val="3"/>
    </font>
    <font>
      <b/>
      <sz val="1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ACC39-3679-42FE-83C3-0ACAA150CD3F}">
  <dimension ref="A1:U80"/>
  <sheetViews>
    <sheetView tabSelected="1" topLeftCell="A41" zoomScale="85" zoomScaleNormal="85" workbookViewId="0">
      <selection activeCell="K71" sqref="K71"/>
    </sheetView>
  </sheetViews>
  <sheetFormatPr defaultRowHeight="16.5" x14ac:dyDescent="0.25"/>
  <cols>
    <col min="2" max="2" width="26.25" customWidth="1"/>
    <col min="3" max="3" width="12.75" customWidth="1"/>
    <col min="4" max="4" width="11.625" customWidth="1"/>
    <col min="5" max="5" width="11.875" customWidth="1"/>
    <col min="6" max="15" width="10.75" bestFit="1" customWidth="1"/>
    <col min="16" max="22" width="11.25" bestFit="1" customWidth="1"/>
  </cols>
  <sheetData>
    <row r="1" spans="1:21" x14ac:dyDescent="0.25">
      <c r="A1" s="2" t="s">
        <v>33</v>
      </c>
      <c r="B1" s="2" t="s">
        <v>32</v>
      </c>
      <c r="C1" s="2">
        <v>20221203</v>
      </c>
      <c r="D1" s="2">
        <v>20221205</v>
      </c>
      <c r="E1" s="2">
        <v>202221207</v>
      </c>
      <c r="F1" s="2">
        <v>20221208</v>
      </c>
      <c r="G1" s="2">
        <v>20221209</v>
      </c>
      <c r="H1" s="2">
        <v>20221210</v>
      </c>
      <c r="I1" s="2">
        <v>20221214</v>
      </c>
      <c r="J1" s="2">
        <v>20221215</v>
      </c>
      <c r="K1" s="2">
        <v>20221216</v>
      </c>
      <c r="L1" s="2">
        <v>20221217</v>
      </c>
      <c r="M1" s="2">
        <v>20221219</v>
      </c>
      <c r="N1" s="2">
        <v>20221221</v>
      </c>
      <c r="O1" s="2">
        <v>20221222</v>
      </c>
      <c r="P1" s="2">
        <v>20221231</v>
      </c>
      <c r="Q1" s="2">
        <v>20230102</v>
      </c>
      <c r="R1" s="2">
        <v>20230107</v>
      </c>
      <c r="S1" s="2">
        <v>20260102</v>
      </c>
      <c r="T1" s="2">
        <v>20260106</v>
      </c>
      <c r="U1" s="2">
        <v>20220109</v>
      </c>
    </row>
    <row r="2" spans="1:21" x14ac:dyDescent="0.25">
      <c r="A2">
        <v>0</v>
      </c>
      <c r="B2" s="1" t="s">
        <v>31</v>
      </c>
      <c r="C2">
        <v>28226.545099999999</v>
      </c>
      <c r="D2">
        <v>7827.8096999999998</v>
      </c>
      <c r="E2">
        <v>9872.9295000000002</v>
      </c>
      <c r="F2">
        <v>3696.4371000000001</v>
      </c>
      <c r="G2">
        <v>7806.1902</v>
      </c>
      <c r="H2">
        <v>13963.114600000001</v>
      </c>
      <c r="I2">
        <v>3735.3126999999999</v>
      </c>
      <c r="J2">
        <v>3704.7384000000002</v>
      </c>
      <c r="K2">
        <v>5744.2015000000001</v>
      </c>
      <c r="L2">
        <v>3707.8701000000001</v>
      </c>
      <c r="M2">
        <v>5714.1298999999999</v>
      </c>
      <c r="N2">
        <v>13881.132</v>
      </c>
      <c r="O2">
        <v>3698.3566999999998</v>
      </c>
      <c r="P2">
        <v>46661.7552</v>
      </c>
      <c r="Q2">
        <v>46718.009599999998</v>
      </c>
      <c r="R2">
        <v>38531.029600000002</v>
      </c>
      <c r="S2">
        <v>26464.123899999999</v>
      </c>
      <c r="T2">
        <v>79790.890700000004</v>
      </c>
      <c r="U2">
        <v>3972.7878999999998</v>
      </c>
    </row>
    <row r="3" spans="1:21" x14ac:dyDescent="0.25">
      <c r="A3">
        <v>1</v>
      </c>
      <c r="B3" s="1" t="s">
        <v>30</v>
      </c>
      <c r="C3">
        <v>24159.5209</v>
      </c>
      <c r="D3">
        <v>7800.5711000000001</v>
      </c>
      <c r="E3">
        <v>9836.5195999999996</v>
      </c>
      <c r="F3">
        <v>3686.6853999999998</v>
      </c>
      <c r="G3">
        <v>7802.3887000000004</v>
      </c>
      <c r="H3">
        <v>13922.9406</v>
      </c>
      <c r="I3">
        <v>3720.6572999999999</v>
      </c>
      <c r="J3">
        <v>3701.1835999999998</v>
      </c>
      <c r="K3">
        <v>5715.4845999999998</v>
      </c>
      <c r="L3">
        <v>3704.3924999999999</v>
      </c>
      <c r="M3">
        <v>3698.6122999999998</v>
      </c>
      <c r="N3">
        <v>11892.1073</v>
      </c>
      <c r="O3">
        <v>3702.6833999999999</v>
      </c>
      <c r="P3">
        <v>46654.105199999998</v>
      </c>
      <c r="Q3">
        <v>48707.970800000003</v>
      </c>
      <c r="R3">
        <v>38487.040999999997</v>
      </c>
      <c r="S3">
        <v>26355.828099999999</v>
      </c>
      <c r="T3">
        <v>79789.871299999999</v>
      </c>
      <c r="U3">
        <v>3942.2044999999998</v>
      </c>
    </row>
    <row r="4" spans="1:21" x14ac:dyDescent="0.25">
      <c r="A4">
        <v>2</v>
      </c>
      <c r="B4" s="1" t="s">
        <v>29</v>
      </c>
      <c r="C4">
        <v>26229.108700000001</v>
      </c>
      <c r="D4">
        <v>5787.2507999999998</v>
      </c>
      <c r="E4">
        <v>7812.0753000000004</v>
      </c>
      <c r="F4">
        <v>3685.4041999999999</v>
      </c>
      <c r="G4">
        <v>7791.9119000000001</v>
      </c>
      <c r="H4">
        <v>13876.1013</v>
      </c>
      <c r="I4">
        <v>3716.8748000000001</v>
      </c>
      <c r="J4">
        <v>3701.0720000000001</v>
      </c>
      <c r="K4">
        <v>3714.6975000000002</v>
      </c>
      <c r="L4">
        <v>3701.1952999999999</v>
      </c>
      <c r="M4">
        <v>3698.0196999999998</v>
      </c>
      <c r="N4">
        <v>11850.9251</v>
      </c>
      <c r="O4">
        <v>3704.0947999999999</v>
      </c>
      <c r="P4">
        <v>44621.499000000003</v>
      </c>
      <c r="Q4">
        <v>46684.199399999998</v>
      </c>
      <c r="R4">
        <v>40492.572899999999</v>
      </c>
      <c r="S4">
        <v>24386.1443</v>
      </c>
      <c r="T4">
        <v>79699.337199999994</v>
      </c>
      <c r="U4">
        <v>5937.8647000000001</v>
      </c>
    </row>
    <row r="5" spans="1:21" x14ac:dyDescent="0.25">
      <c r="A5">
        <v>3</v>
      </c>
      <c r="B5" s="1" t="s">
        <v>28</v>
      </c>
      <c r="C5">
        <v>26175.262900000002</v>
      </c>
      <c r="D5">
        <v>7762.2208000000001</v>
      </c>
      <c r="E5">
        <v>9814.5753000000004</v>
      </c>
      <c r="F5">
        <v>3686.4908999999998</v>
      </c>
      <c r="G5">
        <v>5780.0856000000003</v>
      </c>
      <c r="H5">
        <v>13924.801100000001</v>
      </c>
      <c r="I5">
        <v>5743.3233</v>
      </c>
      <c r="J5">
        <v>3701.1835999999998</v>
      </c>
      <c r="K5">
        <v>5715.3998000000001</v>
      </c>
      <c r="L5">
        <v>3702.1637000000001</v>
      </c>
      <c r="M5">
        <v>3696.5493000000001</v>
      </c>
      <c r="N5">
        <v>9820.2376999999997</v>
      </c>
      <c r="O5">
        <v>3698.8697999999999</v>
      </c>
      <c r="P5">
        <v>44586.106899999999</v>
      </c>
      <c r="Q5">
        <v>46643.537199999999</v>
      </c>
      <c r="R5">
        <v>36460.160400000001</v>
      </c>
      <c r="S5">
        <v>24363.640500000001</v>
      </c>
      <c r="T5">
        <v>81695.808099999995</v>
      </c>
      <c r="U5">
        <v>3913.9893000000002</v>
      </c>
    </row>
    <row r="6" spans="1:21" x14ac:dyDescent="0.25">
      <c r="A6">
        <v>4</v>
      </c>
      <c r="B6" s="1" t="s">
        <v>27</v>
      </c>
      <c r="C6">
        <v>26223.8737</v>
      </c>
      <c r="D6">
        <v>7800.1755999999996</v>
      </c>
      <c r="E6">
        <v>7812.4475000000002</v>
      </c>
      <c r="F6">
        <v>3688.4313999999999</v>
      </c>
      <c r="G6">
        <v>5764.6796999999997</v>
      </c>
      <c r="H6">
        <v>13929.8326</v>
      </c>
      <c r="I6">
        <v>5746.1453000000001</v>
      </c>
      <c r="J6">
        <v>3702.1219000000001</v>
      </c>
      <c r="K6">
        <v>3704.7157999999999</v>
      </c>
      <c r="L6">
        <v>3701.9227999999998</v>
      </c>
      <c r="M6">
        <v>3697.1801999999998</v>
      </c>
      <c r="N6">
        <v>9912.9333000000006</v>
      </c>
      <c r="O6">
        <v>3698.1985</v>
      </c>
      <c r="P6">
        <v>44667.3102</v>
      </c>
      <c r="Q6">
        <v>44680.9067</v>
      </c>
      <c r="R6">
        <v>34512.993799999997</v>
      </c>
      <c r="S6">
        <v>24455.2425</v>
      </c>
      <c r="T6">
        <v>79710.414999999994</v>
      </c>
      <c r="U6">
        <v>3947.5482999999999</v>
      </c>
    </row>
    <row r="7" spans="1:21" x14ac:dyDescent="0.25">
      <c r="A7">
        <v>5</v>
      </c>
      <c r="B7" s="1" t="s">
        <v>26</v>
      </c>
      <c r="C7">
        <v>26227.118999999999</v>
      </c>
      <c r="D7">
        <v>7763.9694</v>
      </c>
      <c r="E7">
        <v>7819.8869000000004</v>
      </c>
      <c r="F7">
        <v>3685.7581</v>
      </c>
      <c r="G7">
        <v>7786.0792000000001</v>
      </c>
      <c r="H7">
        <v>13921.0695</v>
      </c>
      <c r="I7">
        <v>5746.1966000000002</v>
      </c>
      <c r="J7">
        <v>3701.0720000000001</v>
      </c>
      <c r="K7">
        <v>3701.4594999999999</v>
      </c>
      <c r="L7">
        <v>3677.8290999999999</v>
      </c>
      <c r="M7">
        <v>3696.9184</v>
      </c>
      <c r="N7">
        <v>11880.817800000001</v>
      </c>
      <c r="O7">
        <v>3695.1754000000001</v>
      </c>
      <c r="P7">
        <v>44646.022400000002</v>
      </c>
      <c r="Q7">
        <v>42606.374199999998</v>
      </c>
      <c r="R7">
        <v>38506.203300000001</v>
      </c>
      <c r="S7">
        <v>24387.800899999998</v>
      </c>
      <c r="T7">
        <v>79653.427299999996</v>
      </c>
      <c r="U7">
        <v>3920.835</v>
      </c>
    </row>
    <row r="8" spans="1:21" x14ac:dyDescent="0.25">
      <c r="A8">
        <v>6</v>
      </c>
      <c r="B8" s="1" t="s">
        <v>25</v>
      </c>
      <c r="C8">
        <v>26147.785500000002</v>
      </c>
      <c r="D8">
        <v>7751.7708000000002</v>
      </c>
      <c r="E8">
        <v>11859.195900000001</v>
      </c>
      <c r="F8">
        <v>3686.1215000000002</v>
      </c>
      <c r="G8">
        <v>5765.9795999999997</v>
      </c>
      <c r="H8">
        <v>11902.1283</v>
      </c>
      <c r="I8">
        <v>5739.4313000000002</v>
      </c>
      <c r="J8">
        <v>3701.0720000000001</v>
      </c>
      <c r="K8">
        <v>3690.5623999999998</v>
      </c>
      <c r="L8">
        <v>3697.1738</v>
      </c>
      <c r="M8">
        <v>3696.8341</v>
      </c>
      <c r="N8">
        <v>9825.2572</v>
      </c>
      <c r="O8">
        <v>3697.8498</v>
      </c>
      <c r="P8">
        <v>44620.118499999997</v>
      </c>
      <c r="Q8">
        <v>44664.605100000001</v>
      </c>
      <c r="R8">
        <v>38439.004699999998</v>
      </c>
      <c r="S8">
        <v>26371.449199999999</v>
      </c>
      <c r="T8">
        <v>79651.3459</v>
      </c>
      <c r="U8">
        <v>3917.2885000000001</v>
      </c>
    </row>
    <row r="9" spans="1:21" x14ac:dyDescent="0.25">
      <c r="A9">
        <v>7</v>
      </c>
      <c r="B9" s="1" t="s">
        <v>24</v>
      </c>
      <c r="C9">
        <v>26255.5252</v>
      </c>
      <c r="D9">
        <v>7807.8020999999999</v>
      </c>
      <c r="E9">
        <v>9869.3026000000009</v>
      </c>
      <c r="F9">
        <v>3688.3534</v>
      </c>
      <c r="G9">
        <v>7798.1486999999997</v>
      </c>
      <c r="H9">
        <v>13951.490900000001</v>
      </c>
      <c r="I9">
        <v>5746.0933999999997</v>
      </c>
      <c r="J9">
        <v>3702.7370999999998</v>
      </c>
      <c r="K9">
        <v>3720.5212999999999</v>
      </c>
      <c r="L9">
        <v>3702.1550999999999</v>
      </c>
      <c r="M9">
        <v>3699.1855</v>
      </c>
      <c r="N9">
        <v>9845.4428000000007</v>
      </c>
      <c r="O9">
        <v>3711.8685999999998</v>
      </c>
      <c r="P9">
        <v>44748.827799999999</v>
      </c>
      <c r="Q9">
        <v>46736.513200000001</v>
      </c>
      <c r="R9">
        <v>36476.569799999997</v>
      </c>
      <c r="S9">
        <v>26467.1675</v>
      </c>
      <c r="T9">
        <v>79717.979600000006</v>
      </c>
      <c r="U9">
        <v>3954.0571</v>
      </c>
    </row>
    <row r="10" spans="1:21" x14ac:dyDescent="0.25">
      <c r="A10">
        <v>8</v>
      </c>
      <c r="B10" s="1" t="s">
        <v>23</v>
      </c>
      <c r="C10">
        <v>28272.638999999999</v>
      </c>
      <c r="D10">
        <v>7785.4823999999999</v>
      </c>
      <c r="E10">
        <v>7815.1538</v>
      </c>
      <c r="F10">
        <v>3688.6711</v>
      </c>
      <c r="G10">
        <v>7783.1540000000005</v>
      </c>
      <c r="H10">
        <v>13916.5406</v>
      </c>
      <c r="I10">
        <v>3712.8807999999999</v>
      </c>
      <c r="J10">
        <v>3701.0720000000001</v>
      </c>
      <c r="K10">
        <v>3709.7581</v>
      </c>
      <c r="L10">
        <v>3699.8510999999999</v>
      </c>
      <c r="M10">
        <v>3697.337</v>
      </c>
      <c r="N10">
        <v>11858.1482</v>
      </c>
      <c r="O10">
        <v>3695.8004000000001</v>
      </c>
      <c r="P10">
        <v>44677.188800000004</v>
      </c>
      <c r="Q10">
        <v>44650.888800000001</v>
      </c>
      <c r="R10">
        <v>36466.449000000001</v>
      </c>
      <c r="S10">
        <v>24359.172200000001</v>
      </c>
      <c r="T10">
        <v>79660.532900000006</v>
      </c>
      <c r="U10">
        <v>3903.34</v>
      </c>
    </row>
    <row r="11" spans="1:21" x14ac:dyDescent="0.25">
      <c r="A11">
        <v>9</v>
      </c>
      <c r="B11" s="1" t="s">
        <v>22</v>
      </c>
      <c r="C11">
        <v>26211.109499999999</v>
      </c>
      <c r="D11">
        <v>5752.5268999999998</v>
      </c>
      <c r="E11">
        <v>7824.4323000000004</v>
      </c>
      <c r="F11">
        <v>3684.7184999999999</v>
      </c>
      <c r="G11">
        <v>3769.1203999999998</v>
      </c>
      <c r="H11">
        <v>13929.086499999999</v>
      </c>
      <c r="I11">
        <v>5744.2758000000003</v>
      </c>
      <c r="J11">
        <v>3701.0720000000001</v>
      </c>
      <c r="K11">
        <v>3685.9358000000002</v>
      </c>
      <c r="L11">
        <v>3676.8341999999998</v>
      </c>
      <c r="M11">
        <v>3698.7323999999999</v>
      </c>
      <c r="N11">
        <v>11856.1656</v>
      </c>
      <c r="O11">
        <v>3694.8056000000001</v>
      </c>
      <c r="P11">
        <v>46615.6754</v>
      </c>
      <c r="Q11">
        <v>44656.143600000003</v>
      </c>
      <c r="R11">
        <v>34417.767599999999</v>
      </c>
      <c r="S11">
        <v>28392.835200000001</v>
      </c>
      <c r="T11">
        <v>79784.923200000005</v>
      </c>
      <c r="U11">
        <v>3920.223</v>
      </c>
    </row>
    <row r="12" spans="1:21" x14ac:dyDescent="0.25">
      <c r="A12">
        <v>10</v>
      </c>
      <c r="B12" s="1" t="s">
        <v>21</v>
      </c>
      <c r="C12">
        <v>28267.155599999998</v>
      </c>
      <c r="D12">
        <v>9798.9058999999997</v>
      </c>
      <c r="E12">
        <v>7821.0841</v>
      </c>
      <c r="F12">
        <v>3688.6922</v>
      </c>
      <c r="G12">
        <v>7791.8307000000004</v>
      </c>
      <c r="H12">
        <v>13940.5144</v>
      </c>
      <c r="I12">
        <v>5776.8697000000002</v>
      </c>
      <c r="J12">
        <v>3701.0720000000001</v>
      </c>
      <c r="K12">
        <v>3707.7188999999998</v>
      </c>
      <c r="L12">
        <v>3704.8490999999999</v>
      </c>
      <c r="M12">
        <v>3705.3706999999999</v>
      </c>
      <c r="N12">
        <v>9831.5058000000008</v>
      </c>
      <c r="O12">
        <v>5705.8513999999996</v>
      </c>
      <c r="P12">
        <v>50740.400900000001</v>
      </c>
      <c r="Q12">
        <v>46737.276700000002</v>
      </c>
      <c r="R12">
        <v>40511.0599</v>
      </c>
      <c r="S12">
        <v>26471.088500000002</v>
      </c>
      <c r="T12">
        <v>81722.300099999993</v>
      </c>
      <c r="U12">
        <v>5968.2954</v>
      </c>
    </row>
    <row r="13" spans="1:21" x14ac:dyDescent="0.25">
      <c r="A13">
        <v>11</v>
      </c>
      <c r="B13" s="1" t="s">
        <v>20</v>
      </c>
      <c r="C13">
        <v>26186.0281</v>
      </c>
      <c r="D13">
        <v>7789.2157999999999</v>
      </c>
      <c r="E13">
        <v>7815.8289999999997</v>
      </c>
      <c r="F13">
        <v>3686.1179000000002</v>
      </c>
      <c r="G13">
        <v>7780.8333000000002</v>
      </c>
      <c r="H13">
        <v>13911.702300000001</v>
      </c>
      <c r="I13">
        <v>3735.6574999999998</v>
      </c>
      <c r="J13">
        <v>3701.1835999999998</v>
      </c>
      <c r="K13">
        <v>5713.6785</v>
      </c>
      <c r="L13">
        <v>3705.0540999999998</v>
      </c>
      <c r="M13">
        <v>3698.1280000000002</v>
      </c>
      <c r="N13">
        <v>11872.249900000001</v>
      </c>
      <c r="O13">
        <v>3695.4904999999999</v>
      </c>
      <c r="P13">
        <v>42724.943099999997</v>
      </c>
      <c r="Q13">
        <v>44635.822099999998</v>
      </c>
      <c r="R13">
        <v>38531.524700000002</v>
      </c>
      <c r="S13">
        <v>26447.176299999999</v>
      </c>
      <c r="T13">
        <v>79754.42</v>
      </c>
      <c r="U13">
        <v>5949.3134</v>
      </c>
    </row>
    <row r="14" spans="1:21" x14ac:dyDescent="0.25">
      <c r="A14">
        <v>12</v>
      </c>
      <c r="B14" s="1" t="s">
        <v>19</v>
      </c>
      <c r="C14">
        <v>24132.969400000002</v>
      </c>
      <c r="D14">
        <v>7783.7763000000004</v>
      </c>
      <c r="E14">
        <v>9820.6715000000004</v>
      </c>
      <c r="F14">
        <v>3688.6190000000001</v>
      </c>
      <c r="G14">
        <v>7782.5985000000001</v>
      </c>
      <c r="H14">
        <v>13920.167100000001</v>
      </c>
      <c r="I14">
        <v>5741.3836000000001</v>
      </c>
      <c r="J14">
        <v>3701.0720000000001</v>
      </c>
      <c r="K14">
        <v>3680.9485</v>
      </c>
      <c r="L14">
        <v>3701.8647000000001</v>
      </c>
      <c r="M14">
        <v>3697.5785000000001</v>
      </c>
      <c r="N14">
        <v>9824.2919999999995</v>
      </c>
      <c r="O14">
        <v>3693.1680000000001</v>
      </c>
      <c r="P14">
        <v>44616.705199999997</v>
      </c>
      <c r="Q14">
        <v>44585.838000000003</v>
      </c>
      <c r="R14">
        <v>34476.100100000003</v>
      </c>
      <c r="S14">
        <v>26367.2435</v>
      </c>
      <c r="T14">
        <v>79685.282399999996</v>
      </c>
      <c r="U14">
        <v>3906.2157999999999</v>
      </c>
    </row>
    <row r="15" spans="1:21" x14ac:dyDescent="0.25">
      <c r="A15">
        <v>13</v>
      </c>
      <c r="B15" s="1" t="s">
        <v>18</v>
      </c>
      <c r="C15">
        <v>28189.032800000001</v>
      </c>
      <c r="D15">
        <v>7799.0240999999996</v>
      </c>
      <c r="E15">
        <v>9838.5071000000007</v>
      </c>
      <c r="F15">
        <v>3690.4684999999999</v>
      </c>
      <c r="G15">
        <v>5771.6682000000001</v>
      </c>
      <c r="H15">
        <v>13946.053900000001</v>
      </c>
      <c r="I15">
        <v>5745.7816999999995</v>
      </c>
      <c r="J15">
        <v>3701.1835999999998</v>
      </c>
      <c r="K15">
        <v>3682.1622000000002</v>
      </c>
      <c r="L15">
        <v>3705.1561999999999</v>
      </c>
      <c r="M15">
        <v>3698.7345999999998</v>
      </c>
      <c r="N15">
        <v>9831.9984000000004</v>
      </c>
      <c r="O15">
        <v>3703.4940000000001</v>
      </c>
      <c r="P15">
        <v>46665.056400000001</v>
      </c>
      <c r="Q15">
        <v>46635.671600000001</v>
      </c>
      <c r="R15">
        <v>34516.102099999996</v>
      </c>
      <c r="S15">
        <v>28479.005000000001</v>
      </c>
      <c r="T15">
        <v>79714.007400000002</v>
      </c>
      <c r="U15">
        <v>5955.0337</v>
      </c>
    </row>
    <row r="16" spans="1:21" x14ac:dyDescent="0.25">
      <c r="A16">
        <v>14</v>
      </c>
      <c r="B16" s="1" t="s">
        <v>17</v>
      </c>
      <c r="C16">
        <v>24145.484799999998</v>
      </c>
      <c r="D16">
        <v>7763.6135999999997</v>
      </c>
      <c r="E16">
        <v>9856.6960999999992</v>
      </c>
      <c r="F16">
        <v>3690.1648</v>
      </c>
      <c r="G16">
        <v>5764.5420000000004</v>
      </c>
      <c r="H16">
        <v>13941.177799999999</v>
      </c>
      <c r="I16">
        <v>5746.5995999999996</v>
      </c>
      <c r="J16">
        <v>3701.1835999999998</v>
      </c>
      <c r="K16">
        <v>3704.6433999999999</v>
      </c>
      <c r="L16">
        <v>3702.9434999999999</v>
      </c>
      <c r="M16">
        <v>3698.3809000000001</v>
      </c>
      <c r="N16">
        <v>9825.5499</v>
      </c>
      <c r="O16">
        <v>3701.6253000000002</v>
      </c>
      <c r="P16">
        <v>44643.69</v>
      </c>
      <c r="Q16">
        <v>44630.050799999997</v>
      </c>
      <c r="R16">
        <v>34479.815300000002</v>
      </c>
      <c r="S16">
        <v>24390.957399999999</v>
      </c>
      <c r="T16">
        <v>79690.613400000002</v>
      </c>
      <c r="U16">
        <v>5953.6588000000002</v>
      </c>
    </row>
    <row r="17" spans="1:21" x14ac:dyDescent="0.25">
      <c r="A17">
        <v>15</v>
      </c>
      <c r="B17" s="1" t="s">
        <v>16</v>
      </c>
      <c r="C17">
        <v>28199.695199999998</v>
      </c>
      <c r="D17">
        <v>7755.1297000000004</v>
      </c>
      <c r="E17">
        <v>9839.6188000000002</v>
      </c>
      <c r="F17">
        <v>3688.9884000000002</v>
      </c>
      <c r="G17">
        <v>3731.4158000000002</v>
      </c>
      <c r="H17">
        <v>13913.997799999999</v>
      </c>
      <c r="I17">
        <v>5745.951</v>
      </c>
      <c r="J17">
        <v>3701.0720000000001</v>
      </c>
      <c r="K17">
        <v>3680.8942999999999</v>
      </c>
      <c r="L17">
        <v>3681.3597</v>
      </c>
      <c r="M17">
        <v>3697.7748999999999</v>
      </c>
      <c r="N17">
        <v>11854.1163</v>
      </c>
      <c r="O17">
        <v>3704.154</v>
      </c>
      <c r="P17">
        <v>46607.244400000003</v>
      </c>
      <c r="Q17">
        <v>46671.892899999999</v>
      </c>
      <c r="R17">
        <v>36425.224999999999</v>
      </c>
      <c r="S17">
        <v>24420.0049</v>
      </c>
      <c r="T17">
        <v>79750.254700000005</v>
      </c>
      <c r="U17">
        <v>5961.6773999999996</v>
      </c>
    </row>
    <row r="18" spans="1:21" x14ac:dyDescent="0.25">
      <c r="A18">
        <v>16</v>
      </c>
      <c r="B18" s="1" t="s">
        <v>15</v>
      </c>
      <c r="C18">
        <v>28235.8711</v>
      </c>
      <c r="D18">
        <v>7814.7921999999999</v>
      </c>
      <c r="E18">
        <v>7837.0328</v>
      </c>
      <c r="F18">
        <v>3695.3782000000001</v>
      </c>
      <c r="G18">
        <v>7789.2970999999998</v>
      </c>
      <c r="H18">
        <v>13941.065399999999</v>
      </c>
      <c r="I18">
        <v>3727.9915999999998</v>
      </c>
      <c r="J18">
        <v>3701.1835999999998</v>
      </c>
      <c r="K18">
        <v>3683.5117</v>
      </c>
      <c r="L18">
        <v>3702.8368</v>
      </c>
      <c r="M18">
        <v>3698.1648</v>
      </c>
      <c r="N18">
        <v>11856.324199999999</v>
      </c>
      <c r="O18">
        <v>3702.5754000000002</v>
      </c>
      <c r="P18">
        <v>48630.3537</v>
      </c>
      <c r="Q18">
        <v>46601.7768</v>
      </c>
      <c r="R18">
        <v>38458.201000000001</v>
      </c>
      <c r="S18">
        <v>26374.369500000001</v>
      </c>
      <c r="T18">
        <v>83714.474000000002</v>
      </c>
      <c r="U18">
        <v>5963.0258000000003</v>
      </c>
    </row>
    <row r="19" spans="1:21" x14ac:dyDescent="0.25">
      <c r="A19">
        <v>17</v>
      </c>
      <c r="B19" s="1" t="s">
        <v>14</v>
      </c>
      <c r="C19">
        <v>28210.727200000001</v>
      </c>
      <c r="D19">
        <v>7788.3004000000001</v>
      </c>
      <c r="E19">
        <v>9834.4884000000002</v>
      </c>
      <c r="F19">
        <v>3690.4551999999999</v>
      </c>
      <c r="G19">
        <v>5793.0263000000004</v>
      </c>
      <c r="H19">
        <v>13933.417799999999</v>
      </c>
      <c r="I19">
        <v>3724.5437999999999</v>
      </c>
      <c r="J19">
        <v>3701.1835999999998</v>
      </c>
      <c r="K19">
        <v>3709.5381000000002</v>
      </c>
      <c r="L19">
        <v>3701.3303999999998</v>
      </c>
      <c r="M19">
        <v>3696.8566999999998</v>
      </c>
      <c r="N19">
        <v>9830.6193000000003</v>
      </c>
      <c r="O19">
        <v>3696.7085999999999</v>
      </c>
      <c r="P19">
        <v>44725.148699999998</v>
      </c>
      <c r="Q19">
        <v>46611.011500000001</v>
      </c>
      <c r="R19">
        <v>38438.4205</v>
      </c>
      <c r="S19">
        <v>24405.750599999999</v>
      </c>
      <c r="T19">
        <v>79731.344500000007</v>
      </c>
      <c r="U19">
        <v>3956.7008000000001</v>
      </c>
    </row>
    <row r="20" spans="1:21" x14ac:dyDescent="0.25">
      <c r="A20">
        <v>18</v>
      </c>
      <c r="B20" s="1" t="s">
        <v>13</v>
      </c>
      <c r="C20">
        <v>26157.874800000001</v>
      </c>
      <c r="D20">
        <v>7752.5036</v>
      </c>
      <c r="E20">
        <v>7790.51</v>
      </c>
      <c r="F20">
        <v>3687.1109999999999</v>
      </c>
      <c r="G20">
        <v>5775.1736000000001</v>
      </c>
      <c r="H20">
        <v>13882.4692</v>
      </c>
      <c r="I20">
        <v>3717.4148</v>
      </c>
      <c r="J20">
        <v>3701.0720000000001</v>
      </c>
      <c r="K20">
        <v>3680.5374000000002</v>
      </c>
      <c r="L20">
        <v>3705.0275000000001</v>
      </c>
      <c r="M20">
        <v>3674.2489999999998</v>
      </c>
      <c r="N20">
        <v>9822.7289999999994</v>
      </c>
      <c r="O20">
        <v>3695.4917999999998</v>
      </c>
      <c r="P20">
        <v>44582.978799999997</v>
      </c>
      <c r="Q20">
        <v>44785.074099999998</v>
      </c>
      <c r="R20">
        <v>38459.070099999997</v>
      </c>
      <c r="S20">
        <v>24371.112700000001</v>
      </c>
      <c r="T20">
        <v>79707.702999999994</v>
      </c>
      <c r="U20">
        <v>3911.7651999999998</v>
      </c>
    </row>
    <row r="21" spans="1:21" x14ac:dyDescent="0.25">
      <c r="A21">
        <v>19</v>
      </c>
      <c r="B21" s="1" t="s">
        <v>12</v>
      </c>
      <c r="C21">
        <v>28276.875199999999</v>
      </c>
      <c r="D21">
        <v>9817.0450000000001</v>
      </c>
      <c r="E21">
        <v>9860.6481000000003</v>
      </c>
      <c r="F21">
        <v>3690.6033000000002</v>
      </c>
      <c r="G21">
        <v>5789.2078000000001</v>
      </c>
      <c r="H21">
        <v>13975.7379</v>
      </c>
      <c r="I21">
        <v>5748.6301000000003</v>
      </c>
      <c r="J21">
        <v>3704.8121999999998</v>
      </c>
      <c r="K21">
        <v>5748.2368999999999</v>
      </c>
      <c r="L21">
        <v>3708.0333000000001</v>
      </c>
      <c r="M21">
        <v>3698.6404000000002</v>
      </c>
      <c r="N21">
        <v>11865.416999999999</v>
      </c>
      <c r="O21">
        <v>3707.3638000000001</v>
      </c>
      <c r="P21">
        <v>46669.99</v>
      </c>
      <c r="Q21">
        <v>48688.678599999999</v>
      </c>
      <c r="R21">
        <v>38533.898699999998</v>
      </c>
      <c r="S21">
        <v>30508.714599999999</v>
      </c>
      <c r="T21">
        <v>79672.946100000001</v>
      </c>
      <c r="U21">
        <v>3940.1383999999998</v>
      </c>
    </row>
    <row r="22" spans="1:21" x14ac:dyDescent="0.25">
      <c r="A22">
        <v>20</v>
      </c>
      <c r="B22" s="1" t="s">
        <v>11</v>
      </c>
      <c r="C22">
        <v>26247.527399999999</v>
      </c>
      <c r="D22">
        <v>7779.8343999999997</v>
      </c>
      <c r="E22">
        <v>11849.197399999999</v>
      </c>
      <c r="F22">
        <v>3688.9529000000002</v>
      </c>
      <c r="G22">
        <v>5763.1733999999997</v>
      </c>
      <c r="H22">
        <v>13923.208699999999</v>
      </c>
      <c r="I22">
        <v>5742.1442999999999</v>
      </c>
      <c r="J22">
        <v>3701.0720000000001</v>
      </c>
      <c r="K22">
        <v>3715.2329</v>
      </c>
      <c r="L22">
        <v>3700.9416000000001</v>
      </c>
      <c r="M22">
        <v>3696.9184</v>
      </c>
      <c r="N22">
        <v>11873.081700000001</v>
      </c>
      <c r="O22">
        <v>3699.8094000000001</v>
      </c>
      <c r="P22">
        <v>46660.597199999997</v>
      </c>
      <c r="Q22">
        <v>46611.421300000002</v>
      </c>
      <c r="R22">
        <v>36451.112200000003</v>
      </c>
      <c r="S22">
        <v>26426.389299999999</v>
      </c>
      <c r="T22">
        <v>83691.276500000007</v>
      </c>
      <c r="U22">
        <v>3934.4166</v>
      </c>
    </row>
    <row r="23" spans="1:21" x14ac:dyDescent="0.25">
      <c r="A23">
        <v>21</v>
      </c>
      <c r="B23" s="1" t="s">
        <v>10</v>
      </c>
      <c r="C23">
        <v>26161.1515</v>
      </c>
      <c r="D23">
        <v>7749.8144000000002</v>
      </c>
      <c r="E23">
        <v>11855.180399999999</v>
      </c>
      <c r="F23">
        <v>3687.7988999999998</v>
      </c>
      <c r="G23">
        <v>7762.6936999999998</v>
      </c>
      <c r="H23">
        <v>15937.4022</v>
      </c>
      <c r="I23">
        <v>3728.2883999999999</v>
      </c>
      <c r="J23">
        <v>3701.0720000000001</v>
      </c>
      <c r="K23">
        <v>3680.6922</v>
      </c>
      <c r="L23">
        <v>3697.1738</v>
      </c>
      <c r="M23">
        <v>3695.7583</v>
      </c>
      <c r="N23">
        <v>9844.7008999999998</v>
      </c>
      <c r="O23">
        <v>3695.3004999999998</v>
      </c>
      <c r="P23">
        <v>44586.525000000001</v>
      </c>
      <c r="Q23">
        <v>42626.927900000002</v>
      </c>
      <c r="R23">
        <v>38455.705000000002</v>
      </c>
      <c r="S23">
        <v>24368.293399999999</v>
      </c>
      <c r="T23">
        <v>81661.651400000002</v>
      </c>
      <c r="U23">
        <v>3902.6286</v>
      </c>
    </row>
    <row r="24" spans="1:21" x14ac:dyDescent="0.25">
      <c r="A24">
        <v>22</v>
      </c>
      <c r="B24" s="1" t="s">
        <v>9</v>
      </c>
      <c r="C24">
        <v>28258.284500000002</v>
      </c>
      <c r="D24">
        <v>7786.5455000000002</v>
      </c>
      <c r="E24">
        <v>9856.8503000000001</v>
      </c>
      <c r="F24">
        <v>3691.2231000000002</v>
      </c>
      <c r="G24">
        <v>5772.2139999999999</v>
      </c>
      <c r="H24">
        <v>13976.103999999999</v>
      </c>
      <c r="I24">
        <v>5780.7992999999997</v>
      </c>
      <c r="J24">
        <v>3701.1835999999998</v>
      </c>
      <c r="K24">
        <v>5716.4323999999997</v>
      </c>
      <c r="L24">
        <v>3706.7190999999998</v>
      </c>
      <c r="M24">
        <v>3703.2215000000001</v>
      </c>
      <c r="N24">
        <v>11861.1808</v>
      </c>
      <c r="O24">
        <v>3721.1392000000001</v>
      </c>
      <c r="P24">
        <v>46670.286699999997</v>
      </c>
      <c r="Q24">
        <v>44627.491099999999</v>
      </c>
      <c r="R24">
        <v>38516.644099999998</v>
      </c>
      <c r="S24">
        <v>24414.0236</v>
      </c>
      <c r="T24">
        <v>77785.392000000007</v>
      </c>
      <c r="U24">
        <v>3961.0187999999998</v>
      </c>
    </row>
    <row r="25" spans="1:21" x14ac:dyDescent="0.25">
      <c r="A25">
        <v>23</v>
      </c>
      <c r="B25" s="1" t="s">
        <v>8</v>
      </c>
      <c r="C25">
        <v>26202.9483</v>
      </c>
      <c r="D25">
        <v>7812.0920999999998</v>
      </c>
      <c r="E25">
        <v>9830.0498000000007</v>
      </c>
      <c r="F25">
        <v>3686.5585999999998</v>
      </c>
      <c r="G25">
        <v>3779.8984999999998</v>
      </c>
      <c r="H25">
        <v>13957.7382</v>
      </c>
      <c r="I25">
        <v>3724.9315000000001</v>
      </c>
      <c r="J25">
        <v>3701.1835999999998</v>
      </c>
      <c r="K25">
        <v>3705.7572</v>
      </c>
      <c r="L25">
        <v>3704.6705000000002</v>
      </c>
      <c r="M25">
        <v>3698.2348999999999</v>
      </c>
      <c r="N25">
        <v>9837.8241999999991</v>
      </c>
      <c r="O25">
        <v>3701.8706999999999</v>
      </c>
      <c r="P25">
        <v>44638.047200000001</v>
      </c>
      <c r="Q25">
        <v>46697.359900000003</v>
      </c>
      <c r="R25">
        <v>34458.3001</v>
      </c>
      <c r="S25">
        <v>24425.262900000002</v>
      </c>
      <c r="T25">
        <v>81648.291299999997</v>
      </c>
      <c r="U25">
        <v>3914.4746</v>
      </c>
    </row>
    <row r="26" spans="1:21" x14ac:dyDescent="0.25">
      <c r="A26">
        <v>24</v>
      </c>
      <c r="B26" s="1" t="s">
        <v>7</v>
      </c>
      <c r="C26">
        <v>26140.347600000001</v>
      </c>
      <c r="D26">
        <v>7777.0808999999999</v>
      </c>
      <c r="E26">
        <v>9846.0977999999996</v>
      </c>
      <c r="F26">
        <v>3687.5587</v>
      </c>
      <c r="G26">
        <v>7787.2316000000001</v>
      </c>
      <c r="H26">
        <v>11929.278</v>
      </c>
      <c r="I26">
        <v>3722.5104000000001</v>
      </c>
      <c r="J26">
        <v>3701.0720000000001</v>
      </c>
      <c r="K26">
        <v>3683.3494999999998</v>
      </c>
      <c r="L26">
        <v>3697.2037</v>
      </c>
      <c r="M26">
        <v>3696.5027</v>
      </c>
      <c r="N26">
        <v>11852.502500000001</v>
      </c>
      <c r="O26">
        <v>3694.2939999999999</v>
      </c>
      <c r="P26">
        <v>48595.053500000002</v>
      </c>
      <c r="Q26">
        <v>42552.314599999998</v>
      </c>
      <c r="R26">
        <v>36488.8413</v>
      </c>
      <c r="S26">
        <v>24365.233400000001</v>
      </c>
      <c r="T26">
        <v>81776.708400000003</v>
      </c>
      <c r="U26">
        <v>3961.0241999999998</v>
      </c>
    </row>
    <row r="27" spans="1:21" x14ac:dyDescent="0.25">
      <c r="A27">
        <v>25</v>
      </c>
      <c r="B27" s="1" t="s">
        <v>6</v>
      </c>
      <c r="C27">
        <v>26263.7484</v>
      </c>
      <c r="D27">
        <v>7822.3663999999999</v>
      </c>
      <c r="E27">
        <v>9841.5692999999992</v>
      </c>
      <c r="F27">
        <v>3693.9241999999999</v>
      </c>
      <c r="G27">
        <v>7799.6144000000004</v>
      </c>
      <c r="H27">
        <v>13931.3218</v>
      </c>
      <c r="I27">
        <v>5748.2534999999998</v>
      </c>
      <c r="J27">
        <v>3701.1835999999998</v>
      </c>
      <c r="K27">
        <v>3708.0407</v>
      </c>
      <c r="L27">
        <v>3709.4967999999999</v>
      </c>
      <c r="M27">
        <v>3701.0122000000001</v>
      </c>
      <c r="N27">
        <v>11867.3951</v>
      </c>
      <c r="O27">
        <v>3698.6963999999998</v>
      </c>
      <c r="P27">
        <v>46842.996500000001</v>
      </c>
      <c r="Q27">
        <v>46850.922899999998</v>
      </c>
      <c r="R27">
        <v>36426.012199999997</v>
      </c>
      <c r="S27">
        <v>26474.919600000001</v>
      </c>
      <c r="T27">
        <v>79756.635800000004</v>
      </c>
      <c r="U27">
        <v>5949.2206999999999</v>
      </c>
    </row>
    <row r="28" spans="1:21" x14ac:dyDescent="0.25">
      <c r="A28">
        <v>26</v>
      </c>
      <c r="B28" s="1" t="s">
        <v>5</v>
      </c>
      <c r="C28">
        <v>28243.602999999999</v>
      </c>
      <c r="D28">
        <v>7805.9744000000001</v>
      </c>
      <c r="E28">
        <v>7787.6692999999996</v>
      </c>
      <c r="F28">
        <v>3688.5718999999999</v>
      </c>
      <c r="G28">
        <v>7786.7965000000004</v>
      </c>
      <c r="H28">
        <v>13919.8979</v>
      </c>
      <c r="I28">
        <v>5742.3626999999997</v>
      </c>
      <c r="J28">
        <v>3701.0720000000001</v>
      </c>
      <c r="K28">
        <v>3686.4180999999999</v>
      </c>
      <c r="L28">
        <v>3703.4661000000001</v>
      </c>
      <c r="M28">
        <v>3702.4865</v>
      </c>
      <c r="N28">
        <v>9823.5959999999995</v>
      </c>
      <c r="O28">
        <v>3697.2847999999999</v>
      </c>
      <c r="P28">
        <v>48724.933400000002</v>
      </c>
      <c r="Q28">
        <v>44700.846400000002</v>
      </c>
      <c r="R28">
        <v>38469.868900000001</v>
      </c>
      <c r="S28">
        <v>28448.487300000001</v>
      </c>
      <c r="T28">
        <v>79685.4709</v>
      </c>
      <c r="U28">
        <v>3940.4393</v>
      </c>
    </row>
    <row r="29" spans="1:21" x14ac:dyDescent="0.25">
      <c r="A29">
        <v>27</v>
      </c>
      <c r="B29" s="1" t="s">
        <v>4</v>
      </c>
      <c r="C29">
        <v>26172.690500000001</v>
      </c>
      <c r="D29">
        <v>7784.9856</v>
      </c>
      <c r="E29">
        <v>7831.0797000000002</v>
      </c>
      <c r="F29">
        <v>3688.5718999999999</v>
      </c>
      <c r="G29">
        <v>5780.5838999999996</v>
      </c>
      <c r="H29">
        <v>13920.228999999999</v>
      </c>
      <c r="I29">
        <v>3726.8645000000001</v>
      </c>
      <c r="J29">
        <v>3701.0720000000001</v>
      </c>
      <c r="K29">
        <v>5686.2860000000001</v>
      </c>
      <c r="L29">
        <v>3695.6078000000002</v>
      </c>
      <c r="M29">
        <v>3698.1280000000002</v>
      </c>
      <c r="N29">
        <v>11861.393</v>
      </c>
      <c r="O29">
        <v>3694.4389999999999</v>
      </c>
      <c r="P29">
        <v>48608.588799999998</v>
      </c>
      <c r="Q29">
        <v>48692.4035</v>
      </c>
      <c r="R29">
        <v>38457.081700000002</v>
      </c>
      <c r="S29">
        <v>26436.464</v>
      </c>
      <c r="T29">
        <v>79685.314599999998</v>
      </c>
      <c r="U29">
        <v>5934.3185000000003</v>
      </c>
    </row>
    <row r="30" spans="1:21" x14ac:dyDescent="0.25">
      <c r="A30">
        <v>28</v>
      </c>
      <c r="B30" s="1" t="s">
        <v>3</v>
      </c>
      <c r="C30">
        <v>28192.569800000001</v>
      </c>
      <c r="D30">
        <v>7781.0387000000001</v>
      </c>
      <c r="E30">
        <v>9836.2137000000002</v>
      </c>
      <c r="F30">
        <v>3692.6291000000001</v>
      </c>
      <c r="G30">
        <v>7767.2974000000004</v>
      </c>
      <c r="H30">
        <v>13935.053400000001</v>
      </c>
      <c r="I30">
        <v>5748.9894000000004</v>
      </c>
      <c r="J30">
        <v>3710.5464000000002</v>
      </c>
      <c r="K30">
        <v>3705.4434999999999</v>
      </c>
      <c r="L30">
        <v>3704.4612999999999</v>
      </c>
      <c r="M30">
        <v>3700.2647000000002</v>
      </c>
      <c r="N30">
        <v>9840.4712</v>
      </c>
      <c r="O30">
        <v>3699.5488</v>
      </c>
      <c r="P30">
        <v>46695.786200000002</v>
      </c>
      <c r="Q30">
        <v>44694.660199999998</v>
      </c>
      <c r="R30">
        <v>36463.6875</v>
      </c>
      <c r="S30">
        <v>26427.608</v>
      </c>
      <c r="T30">
        <v>79634.150500000003</v>
      </c>
      <c r="U30">
        <v>3941.8746999999998</v>
      </c>
    </row>
    <row r="31" spans="1:21" x14ac:dyDescent="0.25">
      <c r="A31">
        <v>29</v>
      </c>
      <c r="B31" s="1" t="s">
        <v>2</v>
      </c>
      <c r="C31">
        <v>24201.507799999999</v>
      </c>
      <c r="D31">
        <v>7754.4715999999999</v>
      </c>
      <c r="E31">
        <v>7810.3698000000004</v>
      </c>
      <c r="F31">
        <v>3688.7691</v>
      </c>
      <c r="G31">
        <v>5767.5365000000002</v>
      </c>
      <c r="H31">
        <v>15963.442800000001</v>
      </c>
      <c r="I31">
        <v>5749.8588</v>
      </c>
      <c r="J31">
        <v>3701.0720000000001</v>
      </c>
      <c r="K31">
        <v>3681.8561</v>
      </c>
      <c r="L31">
        <v>3703.2098999999998</v>
      </c>
      <c r="M31">
        <v>3697.9722000000002</v>
      </c>
      <c r="N31">
        <v>9813.6311000000005</v>
      </c>
      <c r="O31">
        <v>3701.2460999999998</v>
      </c>
      <c r="P31">
        <v>48662.710899999998</v>
      </c>
      <c r="Q31">
        <v>44638.980300000003</v>
      </c>
      <c r="R31">
        <v>36471.272499999999</v>
      </c>
      <c r="S31">
        <v>28431.027600000001</v>
      </c>
      <c r="T31">
        <v>81748.691600000006</v>
      </c>
      <c r="U31">
        <v>3928.6003000000001</v>
      </c>
    </row>
    <row r="32" spans="1:21" x14ac:dyDescent="0.25">
      <c r="A32">
        <v>30</v>
      </c>
      <c r="B32" s="1" t="s">
        <v>1</v>
      </c>
      <c r="C32">
        <v>26170.237000000001</v>
      </c>
      <c r="D32">
        <v>7777.7853999999998</v>
      </c>
      <c r="E32">
        <v>9836.2507000000005</v>
      </c>
      <c r="F32">
        <v>3688.4086000000002</v>
      </c>
      <c r="G32">
        <v>5756.826</v>
      </c>
      <c r="H32">
        <v>13919.7219</v>
      </c>
      <c r="I32">
        <v>5742.0430999999999</v>
      </c>
      <c r="J32">
        <v>3701.0720000000001</v>
      </c>
      <c r="K32">
        <v>3702.2516999999998</v>
      </c>
      <c r="L32">
        <v>3700.4998000000001</v>
      </c>
      <c r="M32">
        <v>3697.8272999999999</v>
      </c>
      <c r="N32">
        <v>11859.894</v>
      </c>
      <c r="O32">
        <v>3696.5709999999999</v>
      </c>
      <c r="P32">
        <v>46621.020199999999</v>
      </c>
      <c r="Q32">
        <v>44652.683799999999</v>
      </c>
      <c r="R32">
        <v>34442.123099999997</v>
      </c>
      <c r="S32">
        <v>24408.852900000002</v>
      </c>
      <c r="T32">
        <v>79798.264200000005</v>
      </c>
      <c r="U32">
        <v>3906.3445000000002</v>
      </c>
    </row>
    <row r="33" spans="1:21" x14ac:dyDescent="0.25">
      <c r="A33">
        <v>31</v>
      </c>
      <c r="B33" s="1" t="s">
        <v>0</v>
      </c>
      <c r="C33">
        <v>26151.754099999998</v>
      </c>
      <c r="D33">
        <v>7760.1157999999996</v>
      </c>
      <c r="E33">
        <v>7785.8967000000002</v>
      </c>
      <c r="F33">
        <v>3686.1958</v>
      </c>
      <c r="G33">
        <v>5735.1674999999996</v>
      </c>
      <c r="H33">
        <v>11916.923500000001</v>
      </c>
      <c r="I33">
        <v>5741.6453000000001</v>
      </c>
      <c r="J33">
        <v>3701.0720000000001</v>
      </c>
      <c r="K33">
        <v>3677.1084000000001</v>
      </c>
      <c r="L33">
        <v>3698.8146999999999</v>
      </c>
      <c r="M33">
        <v>3697.5785000000001</v>
      </c>
      <c r="N33">
        <v>11847.7359</v>
      </c>
      <c r="O33">
        <v>3700.9654</v>
      </c>
      <c r="P33">
        <v>46654.590100000001</v>
      </c>
      <c r="Q33">
        <v>46648.870900000002</v>
      </c>
      <c r="R33">
        <v>36435.507599999997</v>
      </c>
      <c r="S33">
        <v>26350.2677</v>
      </c>
      <c r="T33">
        <v>79645.349100000007</v>
      </c>
      <c r="U33">
        <v>3900.3361</v>
      </c>
    </row>
    <row r="35" spans="1:21" x14ac:dyDescent="0.25">
      <c r="A35">
        <v>0</v>
      </c>
      <c r="B35">
        <f>-10*LOG10(SUMSQ(C35:U35)/COUNT(C35:U35))</f>
        <v>-1.8962123349789222</v>
      </c>
      <c r="C35">
        <f t="shared" ref="C35:E66" si="0">C2/(MIN(C$2:C$33))</f>
        <v>1.1696258604629066</v>
      </c>
      <c r="D35">
        <f t="shared" si="0"/>
        <v>1.3607602078314489</v>
      </c>
      <c r="E35">
        <f t="shared" si="0"/>
        <v>1.2680529784064565</v>
      </c>
      <c r="F35">
        <f t="shared" ref="F35:O35" si="1">F2/(MIN(F$2:F$33))</f>
        <v>1.0031803243585637</v>
      </c>
      <c r="G35">
        <f t="shared" si="1"/>
        <v>2.0920183164792303</v>
      </c>
      <c r="H35">
        <f t="shared" si="1"/>
        <v>1.1731611563958693</v>
      </c>
      <c r="I35">
        <f t="shared" si="1"/>
        <v>1.0060416429205052</v>
      </c>
      <c r="J35">
        <f t="shared" si="1"/>
        <v>1.0009906319034052</v>
      </c>
      <c r="K35">
        <f t="shared" si="1"/>
        <v>1.5621517984076836</v>
      </c>
      <c r="L35">
        <f t="shared" si="1"/>
        <v>1.0084409299717676</v>
      </c>
      <c r="M35">
        <f t="shared" si="1"/>
        <v>1.5551830863939815</v>
      </c>
      <c r="N35">
        <f t="shared" si="1"/>
        <v>1.4144746076709567</v>
      </c>
      <c r="O35">
        <f t="shared" si="1"/>
        <v>1.0014049455643501</v>
      </c>
      <c r="P35">
        <f t="shared" ref="P35:V35" si="2">P2/(MIN(P$2:P$33))</f>
        <v>1.0921431794721337</v>
      </c>
      <c r="Q35">
        <f t="shared" si="2"/>
        <v>1.0978958498299878</v>
      </c>
      <c r="R35">
        <f t="shared" si="2"/>
        <v>1.1195098429335668</v>
      </c>
      <c r="S35">
        <f>S2/(MIN(S$2:S$33))</f>
        <v>1.0864131047934378</v>
      </c>
      <c r="T35">
        <f>T2/(MIN(T$2:T$33))</f>
        <v>1.0257824592566172</v>
      </c>
      <c r="U35">
        <f>U2/(MIN(U$2:U$33))</f>
        <v>1.0185757837638658</v>
      </c>
    </row>
    <row r="36" spans="1:21" x14ac:dyDescent="0.25">
      <c r="A36">
        <v>1</v>
      </c>
      <c r="B36">
        <f>-10*LOG10(SUMSQ(C36:U36)/COUNT(C36:U36))</f>
        <v>-1.541929385712367</v>
      </c>
      <c r="C36">
        <f t="shared" si="0"/>
        <v>1.0011002168676348</v>
      </c>
      <c r="D36">
        <f t="shared" si="0"/>
        <v>1.356025140882001</v>
      </c>
      <c r="E36">
        <f t="shared" si="0"/>
        <v>1.2633765870538713</v>
      </c>
      <c r="F36">
        <f t="shared" ref="F36:O36" si="3">F3/(MIN(F$2:F$33))</f>
        <v>1.0005337992576637</v>
      </c>
      <c r="G36">
        <f t="shared" si="3"/>
        <v>2.0909995342786512</v>
      </c>
      <c r="H36">
        <f t="shared" si="3"/>
        <v>1.16978579368868</v>
      </c>
      <c r="I36">
        <f t="shared" si="3"/>
        <v>1.0020944653003674</v>
      </c>
      <c r="J36">
        <f t="shared" si="3"/>
        <v>1.0000301534258182</v>
      </c>
      <c r="K36">
        <f t="shared" si="3"/>
        <v>1.5543421564618545</v>
      </c>
      <c r="L36">
        <f t="shared" si="3"/>
        <v>1.0074951163150081</v>
      </c>
      <c r="M36">
        <f t="shared" si="3"/>
        <v>1.006630824421535</v>
      </c>
      <c r="N36">
        <f t="shared" si="3"/>
        <v>1.2117948167014347</v>
      </c>
      <c r="O36">
        <f t="shared" si="3"/>
        <v>1.0025764871784872</v>
      </c>
      <c r="P36">
        <f t="shared" ref="P36:V36" si="4">P3/(MIN(P$2:P$33))</f>
        <v>1.0919641271564386</v>
      </c>
      <c r="Q36">
        <f t="shared" si="4"/>
        <v>1.1446609017127356</v>
      </c>
      <c r="R36">
        <f t="shared" si="4"/>
        <v>1.1182317646888871</v>
      </c>
      <c r="S36">
        <f>S3/(MIN(S$2:S$33))</f>
        <v>1.0819673133227408</v>
      </c>
      <c r="T36">
        <f>T3/(MIN(T$2:T$33))</f>
        <v>1.0257693539681589</v>
      </c>
      <c r="U36">
        <f>U3/(MIN(U$2:U$33))</f>
        <v>1.010734562080432</v>
      </c>
    </row>
    <row r="37" spans="1:21" x14ac:dyDescent="0.25">
      <c r="A37">
        <v>2</v>
      </c>
      <c r="B37">
        <f>-10*LOG10(SUMSQ(C37:U37)/COUNT(C37:U37))</f>
        <v>-1.2747470045290343</v>
      </c>
      <c r="C37">
        <f t="shared" si="0"/>
        <v>1.0868579106556195</v>
      </c>
      <c r="D37">
        <f t="shared" si="0"/>
        <v>1.0060362864187562</v>
      </c>
      <c r="E37">
        <f t="shared" si="0"/>
        <v>1.0033623102140568</v>
      </c>
      <c r="F37">
        <f t="shared" ref="F37:O37" si="5">F4/(MIN(F$2:F$33))</f>
        <v>1.0001860929132036</v>
      </c>
      <c r="G37">
        <f t="shared" si="5"/>
        <v>2.0881918064451566</v>
      </c>
      <c r="H37">
        <f t="shared" si="5"/>
        <v>1.1658504218947128</v>
      </c>
      <c r="I37">
        <f t="shared" si="5"/>
        <v>1.0010757145772091</v>
      </c>
      <c r="J37">
        <f t="shared" si="5"/>
        <v>1</v>
      </c>
      <c r="K37">
        <f t="shared" si="5"/>
        <v>1.0102224617582665</v>
      </c>
      <c r="L37">
        <f t="shared" si="5"/>
        <v>1.0066255639158275</v>
      </c>
      <c r="M37">
        <f t="shared" si="5"/>
        <v>1.0064695397617309</v>
      </c>
      <c r="N37">
        <f t="shared" si="5"/>
        <v>1.2075983883274357</v>
      </c>
      <c r="O37">
        <f t="shared" si="5"/>
        <v>1.0029586523006806</v>
      </c>
      <c r="P37">
        <f t="shared" ref="P37:V37" si="6">P4/(MIN(P$2:P$33))</f>
        <v>1.0443898987895903</v>
      </c>
      <c r="Q37">
        <f t="shared" si="6"/>
        <v>1.0971012937566502</v>
      </c>
      <c r="R37">
        <f t="shared" si="6"/>
        <v>1.1765020140353322</v>
      </c>
      <c r="S37">
        <f>S4/(MIN(S$2:S$33))</f>
        <v>1.0011072666911069</v>
      </c>
      <c r="T37">
        <f>T4/(MIN(T$2:T$33))</f>
        <v>1.0246054580531005</v>
      </c>
      <c r="U37">
        <f>U4/(MIN(U$2:U$33))</f>
        <v>1.5223982107593241</v>
      </c>
    </row>
    <row r="38" spans="1:21" x14ac:dyDescent="0.25">
      <c r="A38">
        <v>3</v>
      </c>
      <c r="B38">
        <f>-10*LOG10(SUMSQ(C38:U38)/COUNT(C38:U38))</f>
        <v>-1.3148065883566704</v>
      </c>
      <c r="C38">
        <f t="shared" si="0"/>
        <v>1.0846266974506669</v>
      </c>
      <c r="D38">
        <f t="shared" si="0"/>
        <v>1.3493584532390452</v>
      </c>
      <c r="E38">
        <f t="shared" si="0"/>
        <v>1.2605581191438104</v>
      </c>
      <c r="F38">
        <f t="shared" ref="F38:O38" si="7">F5/(MIN(F$2:F$33))</f>
        <v>1.0004810136785212</v>
      </c>
      <c r="G38">
        <f t="shared" si="7"/>
        <v>1.5490328362762467</v>
      </c>
      <c r="H38">
        <f t="shared" si="7"/>
        <v>1.1699421102694718</v>
      </c>
      <c r="I38">
        <f t="shared" si="7"/>
        <v>1.5468644455270419</v>
      </c>
      <c r="J38">
        <f t="shared" si="7"/>
        <v>1.0000301534258182</v>
      </c>
      <c r="K38">
        <f t="shared" si="7"/>
        <v>1.5543190948626915</v>
      </c>
      <c r="L38">
        <f t="shared" si="7"/>
        <v>1.0068889426670369</v>
      </c>
      <c r="M38">
        <f t="shared" si="7"/>
        <v>1.0060693491377422</v>
      </c>
      <c r="N38">
        <f t="shared" si="7"/>
        <v>1.0006732064750221</v>
      </c>
      <c r="O38">
        <f t="shared" si="7"/>
        <v>1.001543877776478</v>
      </c>
      <c r="P38">
        <f t="shared" ref="P38:V38" si="8">P5/(MIN(P$2:P$33))</f>
        <v>1.0435615278794836</v>
      </c>
      <c r="Q38">
        <f t="shared" si="8"/>
        <v>1.0961457123650802</v>
      </c>
      <c r="R38">
        <f t="shared" si="8"/>
        <v>1.0593412339735828</v>
      </c>
      <c r="S38">
        <f>S5/(MIN(S$2:S$33))</f>
        <v>1.0001834339838527</v>
      </c>
      <c r="T38">
        <f>T5/(MIN(T$2:T$33))</f>
        <v>1.050271856957409</v>
      </c>
      <c r="U38">
        <f>U5/(MIN(U$2:U$33))</f>
        <v>1.003500518839902</v>
      </c>
    </row>
    <row r="39" spans="1:21" x14ac:dyDescent="0.25">
      <c r="A39">
        <v>4</v>
      </c>
      <c r="B39">
        <f>-10*LOG10(SUMSQ(C39:U39)/COUNT(C39:U39))</f>
        <v>-0.92835966495997768</v>
      </c>
      <c r="C39">
        <f t="shared" si="0"/>
        <v>1.0866409874948915</v>
      </c>
      <c r="D39">
        <f t="shared" si="0"/>
        <v>1.3559563884872925</v>
      </c>
      <c r="E39">
        <f t="shared" si="0"/>
        <v>1.0034101145986178</v>
      </c>
      <c r="F39">
        <f t="shared" ref="F39:O39" si="9">F6/(MIN(F$2:F$33))</f>
        <v>1.0010076482097614</v>
      </c>
      <c r="G39">
        <f t="shared" si="9"/>
        <v>1.5449041353150725</v>
      </c>
      <c r="H39">
        <f t="shared" si="9"/>
        <v>1.1703648497890919</v>
      </c>
      <c r="I39">
        <f t="shared" si="9"/>
        <v>1.547624502246342</v>
      </c>
      <c r="J39">
        <f t="shared" si="9"/>
        <v>1.000283674567801</v>
      </c>
      <c r="K39">
        <f t="shared" si="9"/>
        <v>1.0075079102916846</v>
      </c>
      <c r="L39">
        <f t="shared" si="9"/>
        <v>1.0068234243469558</v>
      </c>
      <c r="M39">
        <f t="shared" si="9"/>
        <v>1.0062410576964163</v>
      </c>
      <c r="N39">
        <f t="shared" si="9"/>
        <v>1.0101188030187929</v>
      </c>
      <c r="O39">
        <f t="shared" si="9"/>
        <v>1.0013621097117704</v>
      </c>
      <c r="P39">
        <f t="shared" ref="P39:V39" si="10">P6/(MIN(P$2:P$33))</f>
        <v>1.0454621342725674</v>
      </c>
      <c r="Q39">
        <f t="shared" si="10"/>
        <v>1.0500229451678289</v>
      </c>
      <c r="R39">
        <f t="shared" si="10"/>
        <v>1.0027667744493689</v>
      </c>
      <c r="S39">
        <f>S6/(MIN(S$2:S$33))</f>
        <v>1.0039439065995848</v>
      </c>
      <c r="T39">
        <f>T6/(MIN(T$2:T$33))</f>
        <v>1.0247478729682302</v>
      </c>
      <c r="U39">
        <f>U6/(MIN(U$2:U$33))</f>
        <v>1.0121046491352372</v>
      </c>
    </row>
    <row r="40" spans="1:21" x14ac:dyDescent="0.25">
      <c r="A40">
        <v>5</v>
      </c>
      <c r="B40">
        <f>-10*LOG10(SUMSQ(C40:U40)/COUNT(C40:U40))</f>
        <v>-1.3671808906460312</v>
      </c>
      <c r="C40">
        <f t="shared" si="0"/>
        <v>1.0867754632797071</v>
      </c>
      <c r="D40">
        <f t="shared" si="0"/>
        <v>1.3496624240036148</v>
      </c>
      <c r="E40">
        <f t="shared" si="0"/>
        <v>1.0043656114779946</v>
      </c>
      <c r="F40">
        <f t="shared" ref="F40:O40" si="11">F7/(MIN(F$2:F$33))</f>
        <v>1.0002821382420395</v>
      </c>
      <c r="G40">
        <f t="shared" si="11"/>
        <v>2.0866286732237129</v>
      </c>
      <c r="H40">
        <f t="shared" si="11"/>
        <v>1.169628586510868</v>
      </c>
      <c r="I40">
        <f t="shared" si="11"/>
        <v>1.5476383190109417</v>
      </c>
      <c r="J40">
        <f t="shared" si="11"/>
        <v>1</v>
      </c>
      <c r="K40">
        <f t="shared" si="11"/>
        <v>1.0066223503228786</v>
      </c>
      <c r="L40">
        <f t="shared" si="11"/>
        <v>1.0002705860383914</v>
      </c>
      <c r="M40">
        <f t="shared" si="11"/>
        <v>1.0061698050404315</v>
      </c>
      <c r="N40">
        <f t="shared" si="11"/>
        <v>1.2106444270153991</v>
      </c>
      <c r="O40">
        <f t="shared" si="11"/>
        <v>1.0005435441875377</v>
      </c>
      <c r="P40">
        <f t="shared" ref="P40:V40" si="12">P7/(MIN(P$2:P$33))</f>
        <v>1.0449638819998803</v>
      </c>
      <c r="Q40">
        <f t="shared" si="12"/>
        <v>1.0012704267795576</v>
      </c>
      <c r="R40">
        <f t="shared" si="12"/>
        <v>1.1187885207290436</v>
      </c>
      <c r="S40">
        <f>S7/(MIN(S$2:S$33))</f>
        <v>1.0011752739282329</v>
      </c>
      <c r="T40">
        <f>T7/(MIN(T$2:T$33))</f>
        <v>1.0240152456903475</v>
      </c>
      <c r="U40">
        <f>U7/(MIN(U$2:U$33))</f>
        <v>1.0052556752737283</v>
      </c>
    </row>
    <row r="41" spans="1:21" x14ac:dyDescent="0.25">
      <c r="A41">
        <v>6</v>
      </c>
      <c r="B41">
        <f>-10*LOG10(SUMSQ(C41:U41)/COUNT(C41:U41))</f>
        <v>-1.1556983354583077</v>
      </c>
      <c r="C41">
        <f t="shared" si="0"/>
        <v>1.0834881139823598</v>
      </c>
      <c r="D41">
        <f t="shared" si="0"/>
        <v>1.3475418602562295</v>
      </c>
      <c r="E41">
        <f t="shared" si="0"/>
        <v>1.5231637866451528</v>
      </c>
      <c r="F41">
        <f t="shared" ref="F41:O41" si="13">F8/(MIN(F$2:F$33))</f>
        <v>1.0003807617868232</v>
      </c>
      <c r="G41">
        <f t="shared" si="13"/>
        <v>1.54525250174478</v>
      </c>
      <c r="H41">
        <f t="shared" si="13"/>
        <v>1</v>
      </c>
      <c r="I41">
        <f t="shared" si="13"/>
        <v>1.5458162028794462</v>
      </c>
      <c r="J41">
        <f t="shared" si="13"/>
        <v>1</v>
      </c>
      <c r="K41">
        <f t="shared" si="13"/>
        <v>1.0036588532445765</v>
      </c>
      <c r="L41">
        <f t="shared" si="13"/>
        <v>1.0055318240893212</v>
      </c>
      <c r="M41">
        <f t="shared" si="13"/>
        <v>1.0061468615763385</v>
      </c>
      <c r="N41">
        <f t="shared" si="13"/>
        <v>1.0011846889170308</v>
      </c>
      <c r="O41">
        <f t="shared" si="13"/>
        <v>1.0012676921277341</v>
      </c>
      <c r="P41">
        <f t="shared" ref="P41:V41" si="14">P8/(MIN(P$2:P$33))</f>
        <v>1.044357587453405</v>
      </c>
      <c r="Q41">
        <f t="shared" si="14"/>
        <v>1.0496398496734183</v>
      </c>
      <c r="R41">
        <f t="shared" si="14"/>
        <v>1.116836081489492</v>
      </c>
      <c r="S41">
        <f>S8/(MIN(S$2:S$33))</f>
        <v>1.0826085953774733</v>
      </c>
      <c r="T41">
        <f>T8/(MIN(T$2:T$33))</f>
        <v>1.0239884874527596</v>
      </c>
      <c r="U41">
        <f>U8/(MIN(U$2:U$33))</f>
        <v>1.0043463946607063</v>
      </c>
    </row>
    <row r="42" spans="1:21" x14ac:dyDescent="0.25">
      <c r="A42">
        <v>7</v>
      </c>
      <c r="B42">
        <f>-10*LOG10(SUMSQ(C42:U42)/COUNT(C42:U42))</f>
        <v>-1.4490386012942356</v>
      </c>
      <c r="C42">
        <f t="shared" si="0"/>
        <v>1.0879525335162443</v>
      </c>
      <c r="D42">
        <f t="shared" si="0"/>
        <v>1.3572821536914499</v>
      </c>
      <c r="E42">
        <f t="shared" si="0"/>
        <v>1.2675871489535688</v>
      </c>
      <c r="F42">
        <f t="shared" ref="F42:O42" si="15">F9/(MIN(F$2:F$33))</f>
        <v>1.000986479699874</v>
      </c>
      <c r="G42">
        <f t="shared" si="15"/>
        <v>2.0898632363619192</v>
      </c>
      <c r="H42">
        <f t="shared" si="15"/>
        <v>1.1721845495481678</v>
      </c>
      <c r="I42">
        <f t="shared" si="15"/>
        <v>1.5476105238821565</v>
      </c>
      <c r="J42">
        <f t="shared" si="15"/>
        <v>1.0004498966785837</v>
      </c>
      <c r="K42">
        <f t="shared" si="15"/>
        <v>1.0118062605932421</v>
      </c>
      <c r="L42">
        <f t="shared" si="15"/>
        <v>1.0068866036983664</v>
      </c>
      <c r="M42">
        <f t="shared" si="15"/>
        <v>1.0067868290907884</v>
      </c>
      <c r="N42">
        <f t="shared" si="15"/>
        <v>1.0032415830262869</v>
      </c>
      <c r="O42">
        <f t="shared" si="15"/>
        <v>1.0050635660224501</v>
      </c>
      <c r="P42">
        <f t="shared" ref="P42:V42" si="16">P9/(MIN(P$2:P$33))</f>
        <v>1.0473700970241901</v>
      </c>
      <c r="Q42">
        <f t="shared" si="16"/>
        <v>1.0983306933907657</v>
      </c>
      <c r="R42">
        <f t="shared" si="16"/>
        <v>1.0598180051631239</v>
      </c>
      <c r="S42">
        <f>S9/(MIN(S$2:S$33))</f>
        <v>1.0865380515681069</v>
      </c>
      <c r="T42">
        <f>T9/(MIN(T$2:T$33))</f>
        <v>1.0248451225906272</v>
      </c>
      <c r="U42">
        <f>U9/(MIN(U$2:U$33))</f>
        <v>1.0137734283976194</v>
      </c>
    </row>
    <row r="43" spans="1:21" x14ac:dyDescent="0.25">
      <c r="A43">
        <v>8</v>
      </c>
      <c r="B43">
        <f>-10*LOG10(SUMSQ(C43:U43)/COUNT(C43:U43))</f>
        <v>-1.1576336908735076</v>
      </c>
      <c r="C43">
        <f t="shared" si="0"/>
        <v>1.1715358574979173</v>
      </c>
      <c r="D43">
        <f t="shared" si="0"/>
        <v>1.3534021718351288</v>
      </c>
      <c r="E43">
        <f t="shared" si="0"/>
        <v>1.0037577046199444</v>
      </c>
      <c r="F43">
        <f t="shared" ref="F43:O43" si="17">F10/(MIN(F$2:F$33))</f>
        <v>1.0010727006689928</v>
      </c>
      <c r="G43">
        <f t="shared" si="17"/>
        <v>2.0858447348590849</v>
      </c>
      <c r="H43">
        <f t="shared" si="17"/>
        <v>1.169248074732987</v>
      </c>
      <c r="I43">
        <f t="shared" si="17"/>
        <v>1</v>
      </c>
      <c r="J43">
        <f t="shared" si="17"/>
        <v>1</v>
      </c>
      <c r="K43">
        <f t="shared" si="17"/>
        <v>1.008879177997581</v>
      </c>
      <c r="L43">
        <f t="shared" si="17"/>
        <v>1.0062599776731842</v>
      </c>
      <c r="M43">
        <f t="shared" si="17"/>
        <v>1.0062837330839582</v>
      </c>
      <c r="N43">
        <f t="shared" si="17"/>
        <v>1.2083344155864997</v>
      </c>
      <c r="O43">
        <f t="shared" si="17"/>
        <v>1.0007127755899543</v>
      </c>
      <c r="P43">
        <f t="shared" ref="P43:V43" si="18">P10/(MIN(P$2:P$33))</f>
        <v>1.045693348155682</v>
      </c>
      <c r="Q43">
        <f t="shared" si="18"/>
        <v>1.0493175099809966</v>
      </c>
      <c r="R43">
        <f t="shared" si="18"/>
        <v>1.0595239477414566</v>
      </c>
      <c r="S43">
        <f>S10/(MIN(S$2:S$33))</f>
        <v>1</v>
      </c>
      <c r="T43">
        <f>T10/(MIN(T$2:T$33))</f>
        <v>1.0241065944618495</v>
      </c>
      <c r="U43">
        <f>U10/(MIN(U$2:U$33))</f>
        <v>1.0007701643968581</v>
      </c>
    </row>
    <row r="44" spans="1:21" x14ac:dyDescent="0.25">
      <c r="A44">
        <v>9</v>
      </c>
      <c r="B44">
        <f>-10*LOG10(SUMSQ(C44:U44)/COUNT(C44:U44))</f>
        <v>-0.66901613792177417</v>
      </c>
      <c r="C44">
        <f t="shared" si="0"/>
        <v>1.0861120762039336</v>
      </c>
      <c r="D44">
        <f t="shared" si="0"/>
        <v>1</v>
      </c>
      <c r="E44">
        <f t="shared" si="0"/>
        <v>1.0049494106439918</v>
      </c>
      <c r="F44">
        <f t="shared" ref="F44:O44" si="19">F11/(MIN(F$2:F$33))</f>
        <v>1</v>
      </c>
      <c r="G44">
        <f t="shared" si="19"/>
        <v>1.0101046364224537</v>
      </c>
      <c r="H44">
        <f t="shared" si="19"/>
        <v>1.1703021635214601</v>
      </c>
      <c r="I44">
        <f t="shared" si="19"/>
        <v>1.547120984869754</v>
      </c>
      <c r="J44">
        <f t="shared" si="19"/>
        <v>1</v>
      </c>
      <c r="K44">
        <f t="shared" si="19"/>
        <v>1.0024006363260871</v>
      </c>
      <c r="L44">
        <f t="shared" si="19"/>
        <v>1</v>
      </c>
      <c r="M44">
        <f t="shared" si="19"/>
        <v>1.0066635113733446</v>
      </c>
      <c r="N44">
        <f t="shared" si="19"/>
        <v>1.2081323904665624</v>
      </c>
      <c r="O44">
        <f t="shared" si="19"/>
        <v>1.0004434133513558</v>
      </c>
      <c r="P44">
        <f t="shared" ref="P44:V44" si="20">P11/(MIN(P$2:P$33))</f>
        <v>1.0910646572634055</v>
      </c>
      <c r="Q44">
        <f t="shared" si="20"/>
        <v>1.0494410003257497</v>
      </c>
      <c r="R44">
        <f t="shared" si="20"/>
        <v>1</v>
      </c>
      <c r="S44">
        <f>S11/(MIN(S$2:S$33))</f>
        <v>1.1655911361388545</v>
      </c>
      <c r="T44">
        <f>T11/(MIN(T$2:T$33))</f>
        <v>1.0257057417670403</v>
      </c>
      <c r="U44">
        <f>U11/(MIN(U$2:U$33))</f>
        <v>1.0050987657191901</v>
      </c>
    </row>
    <row r="45" spans="1:21" x14ac:dyDescent="0.25">
      <c r="A45">
        <v>10</v>
      </c>
      <c r="B45">
        <f>-10*LOG10(SUMSQ(C45:U45)/COUNT(C45:U45))</f>
        <v>-2.0563095375695637</v>
      </c>
      <c r="C45">
        <f t="shared" si="0"/>
        <v>1.1713086413642904</v>
      </c>
      <c r="D45">
        <f t="shared" si="0"/>
        <v>1.7034089662405576</v>
      </c>
      <c r="E45">
        <f t="shared" si="0"/>
        <v>1.0045193766827141</v>
      </c>
      <c r="F45">
        <f t="shared" ref="F45:O45" si="21">F12/(MIN(F$2:F$33))</f>
        <v>1.0010784270223085</v>
      </c>
      <c r="G45">
        <f t="shared" si="21"/>
        <v>2.0881700452680723</v>
      </c>
      <c r="H45">
        <f t="shared" si="21"/>
        <v>1.1712623195298608</v>
      </c>
      <c r="I45">
        <f t="shared" si="21"/>
        <v>1.5558995861111404</v>
      </c>
      <c r="J45">
        <f t="shared" si="21"/>
        <v>1</v>
      </c>
      <c r="K45">
        <f t="shared" si="21"/>
        <v>1.0083246118063856</v>
      </c>
      <c r="L45">
        <f t="shared" si="21"/>
        <v>1.0076192992330195</v>
      </c>
      <c r="M45">
        <f t="shared" si="21"/>
        <v>1.0084702207172134</v>
      </c>
      <c r="N45">
        <f t="shared" si="21"/>
        <v>1.0018214155207037</v>
      </c>
      <c r="O45">
        <f t="shared" si="21"/>
        <v>1.5449747750440812</v>
      </c>
      <c r="P45">
        <f t="shared" ref="P45:V45" si="22">P12/(MIN(P$2:P$33))</f>
        <v>1.1876060497316381</v>
      </c>
      <c r="Q45">
        <f t="shared" si="22"/>
        <v>1.0983486360105075</v>
      </c>
      <c r="R45">
        <f t="shared" si="22"/>
        <v>1.1770391493956163</v>
      </c>
      <c r="S45">
        <f>S12/(MIN(S$2:S$33))</f>
        <v>1.0866990176291786</v>
      </c>
      <c r="T45">
        <f>T12/(MIN(T$2:T$33))</f>
        <v>1.0506124350443589</v>
      </c>
      <c r="U45">
        <f>U12/(MIN(U$2:U$33))</f>
        <v>1.5302002819705718</v>
      </c>
    </row>
    <row r="46" spans="1:21" x14ac:dyDescent="0.25">
      <c r="A46">
        <v>11</v>
      </c>
      <c r="B46">
        <f>-10*LOG10(SUMSQ(C46:U46)/COUNT(C46:U46))</f>
        <v>-1.6158975726410043</v>
      </c>
      <c r="C46">
        <f t="shared" si="0"/>
        <v>1.085072776000785</v>
      </c>
      <c r="D46">
        <f t="shared" si="0"/>
        <v>1.354051173580779</v>
      </c>
      <c r="E46">
        <f t="shared" si="0"/>
        <v>1.0038444255239092</v>
      </c>
      <c r="F46">
        <f t="shared" ref="F46:O46" si="23">F13/(MIN(F$2:F$33))</f>
        <v>1.0003797847786744</v>
      </c>
      <c r="G46">
        <f t="shared" si="23"/>
        <v>2.0852227993460284</v>
      </c>
      <c r="H46">
        <f t="shared" si="23"/>
        <v>1.1688415676043418</v>
      </c>
      <c r="I46">
        <f t="shared" si="23"/>
        <v>1.0061345088159037</v>
      </c>
      <c r="J46">
        <f t="shared" si="23"/>
        <v>1.0000301534258182</v>
      </c>
      <c r="K46">
        <f t="shared" si="23"/>
        <v>1.5538509824730757</v>
      </c>
      <c r="L46">
        <f t="shared" si="23"/>
        <v>1.0076750537187671</v>
      </c>
      <c r="M46">
        <f t="shared" si="23"/>
        <v>1.0064990151728967</v>
      </c>
      <c r="N46">
        <f t="shared" si="23"/>
        <v>1.2097713658708855</v>
      </c>
      <c r="O46">
        <f t="shared" si="23"/>
        <v>1.0006288638913798</v>
      </c>
      <c r="P46">
        <f t="shared" ref="P46:V46" si="24">P13/(MIN(P$2:P$33))</f>
        <v>1</v>
      </c>
      <c r="Q46">
        <f t="shared" si="24"/>
        <v>1.0489634352346136</v>
      </c>
      <c r="R46">
        <f t="shared" si="24"/>
        <v>1.1195242279455686</v>
      </c>
      <c r="S46">
        <f>S13/(MIN(S$2:S$33))</f>
        <v>1.0857173668652007</v>
      </c>
      <c r="T46">
        <f>T13/(MIN(T$2:T$33))</f>
        <v>1.025313596156975</v>
      </c>
      <c r="U46">
        <f>U13/(MIN(U$2:U$33))</f>
        <v>1.5253335218982795</v>
      </c>
    </row>
    <row r="47" spans="1:21" x14ac:dyDescent="0.25">
      <c r="A47">
        <v>12</v>
      </c>
      <c r="B47">
        <f>-10*LOG10(SUMSQ(C47:U47)/COUNT(C47:U47))</f>
        <v>-1.3588076555094675</v>
      </c>
      <c r="C47">
        <f t="shared" si="0"/>
        <v>1</v>
      </c>
      <c r="D47">
        <f t="shared" si="0"/>
        <v>1.3531055891281449</v>
      </c>
      <c r="E47">
        <f t="shared" si="0"/>
        <v>1.2613410989642337</v>
      </c>
      <c r="F47">
        <f t="shared" ref="F47:O47" si="25">F14/(MIN(F$2:F$33))</f>
        <v>1.0010585611899525</v>
      </c>
      <c r="G47">
        <f t="shared" si="25"/>
        <v>2.0856958637523055</v>
      </c>
      <c r="H47">
        <f t="shared" si="25"/>
        <v>1.1695527681381153</v>
      </c>
      <c r="I47">
        <f t="shared" si="25"/>
        <v>1.5463420209988967</v>
      </c>
      <c r="J47">
        <f t="shared" si="25"/>
        <v>1</v>
      </c>
      <c r="K47">
        <f t="shared" si="25"/>
        <v>1.0010443260253084</v>
      </c>
      <c r="L47">
        <f t="shared" si="25"/>
        <v>1.0068076227097758</v>
      </c>
      <c r="M47">
        <f t="shared" si="25"/>
        <v>1.0063494608013774</v>
      </c>
      <c r="N47">
        <f t="shared" si="25"/>
        <v>1.0010863359231017</v>
      </c>
      <c r="O47">
        <f t="shared" si="25"/>
        <v>1</v>
      </c>
      <c r="P47">
        <f t="shared" ref="P47:V47" si="26">P14/(MIN(P$2:P$33))</f>
        <v>1.0442776973528609</v>
      </c>
      <c r="Q47">
        <f t="shared" si="26"/>
        <v>1.0477887846787071</v>
      </c>
      <c r="R47">
        <f t="shared" si="26"/>
        <v>1.0016948368260818</v>
      </c>
      <c r="S47">
        <f>S14/(MIN(S$2:S$33))</f>
        <v>1.0824359417271165</v>
      </c>
      <c r="T47">
        <f>T14/(MIN(T$2:T$33))</f>
        <v>1.0244247711704015</v>
      </c>
      <c r="U47">
        <f>U14/(MIN(U$2:U$33))</f>
        <v>1.0015074854702906</v>
      </c>
    </row>
    <row r="48" spans="1:21" x14ac:dyDescent="0.25">
      <c r="A48">
        <v>13</v>
      </c>
      <c r="B48">
        <f>-10*LOG10(SUMSQ(C48:U48)/COUNT(C48:U48))</f>
        <v>-1.3874523928263427</v>
      </c>
      <c r="C48">
        <f t="shared" si="0"/>
        <v>1.1680714599505522</v>
      </c>
      <c r="D48">
        <f t="shared" si="0"/>
        <v>1.3557562155858844</v>
      </c>
      <c r="E48">
        <f t="shared" si="0"/>
        <v>1.2636318563024347</v>
      </c>
      <c r="F48">
        <f t="shared" ref="F48:O48" si="27">F15/(MIN(F$2:F$33))</f>
        <v>1.0015604991263241</v>
      </c>
      <c r="G48">
        <f t="shared" si="27"/>
        <v>1.5467770169167423</v>
      </c>
      <c r="H48">
        <f t="shared" si="27"/>
        <v>1.1717277404915893</v>
      </c>
      <c r="I48">
        <f t="shared" si="27"/>
        <v>1.54752657289725</v>
      </c>
      <c r="J48">
        <f t="shared" si="27"/>
        <v>1.0000301534258182</v>
      </c>
      <c r="K48">
        <f t="shared" si="27"/>
        <v>1.00137439516333</v>
      </c>
      <c r="L48">
        <f t="shared" si="27"/>
        <v>1.0077028221724005</v>
      </c>
      <c r="M48">
        <f t="shared" si="27"/>
        <v>1.0066641101351597</v>
      </c>
      <c r="N48">
        <f t="shared" si="27"/>
        <v>1.001871611008488</v>
      </c>
      <c r="O48">
        <f t="shared" si="27"/>
        <v>1.0027959735381655</v>
      </c>
      <c r="P48">
        <f t="shared" ref="P48:V48" si="28">P15/(MIN(P$2:P$33))</f>
        <v>1.0922204458126008</v>
      </c>
      <c r="Q48">
        <f t="shared" si="28"/>
        <v>1.0959608669559893</v>
      </c>
      <c r="R48">
        <f t="shared" si="28"/>
        <v>1.0028570853619221</v>
      </c>
      <c r="S48">
        <f>S15/(MIN(S$2:S$33))</f>
        <v>1.1691286044605407</v>
      </c>
      <c r="T48">
        <f>T15/(MIN(T$2:T$33))</f>
        <v>1.0247940564469997</v>
      </c>
      <c r="U48">
        <f>U15/(MIN(U$2:U$33))</f>
        <v>1.5268001390957051</v>
      </c>
    </row>
    <row r="49" spans="1:21" x14ac:dyDescent="0.25">
      <c r="A49">
        <v>14</v>
      </c>
      <c r="B49">
        <f>-10*LOG10(SUMSQ(C49:U49)/COUNT(C49:U49))</f>
        <v>-1.2281024828309923</v>
      </c>
      <c r="C49">
        <f t="shared" si="0"/>
        <v>1.0005186017432235</v>
      </c>
      <c r="D49">
        <f t="shared" si="0"/>
        <v>1.3496005729238745</v>
      </c>
      <c r="E49">
        <f t="shared" si="0"/>
        <v>1.2659680034028706</v>
      </c>
      <c r="F49">
        <f t="shared" ref="F49:O49" si="29">F16/(MIN(F$2:F$33))</f>
        <v>1.001478077633339</v>
      </c>
      <c r="G49">
        <f t="shared" si="29"/>
        <v>1.5448672324322581</v>
      </c>
      <c r="H49">
        <f t="shared" si="29"/>
        <v>1.1713180574603619</v>
      </c>
      <c r="I49">
        <f t="shared" si="29"/>
        <v>1.5477468600661781</v>
      </c>
      <c r="J49">
        <f t="shared" si="29"/>
        <v>1.0000301534258182</v>
      </c>
      <c r="K49">
        <f t="shared" si="29"/>
        <v>1.0074882209074936</v>
      </c>
      <c r="L49">
        <f t="shared" si="29"/>
        <v>1.0071010272913585</v>
      </c>
      <c r="M49">
        <f t="shared" si="29"/>
        <v>1.0065678455651754</v>
      </c>
      <c r="N49">
        <f t="shared" si="29"/>
        <v>1.0012145147783269</v>
      </c>
      <c r="O49">
        <f t="shared" si="29"/>
        <v>1.0022899851834524</v>
      </c>
      <c r="P49">
        <f t="shared" ref="P49:V49" si="30">P16/(MIN(P$2:P$33))</f>
        <v>1.0449092909382951</v>
      </c>
      <c r="Q49">
        <f t="shared" si="30"/>
        <v>1.0488278068897339</v>
      </c>
      <c r="R49">
        <f t="shared" si="30"/>
        <v>1.0018027810728782</v>
      </c>
      <c r="S49">
        <f>S16/(MIN(S$2:S$33))</f>
        <v>1.001304855507364</v>
      </c>
      <c r="T49">
        <f>T16/(MIN(T$2:T$33))</f>
        <v>1.02449330588962</v>
      </c>
      <c r="U49">
        <f>U16/(MIN(U$2:U$33))</f>
        <v>1.5264476310131325</v>
      </c>
    </row>
    <row r="50" spans="1:21" x14ac:dyDescent="0.25">
      <c r="A50">
        <v>15</v>
      </c>
      <c r="B50">
        <f>-10*LOG10(SUMSQ(C50:U50)/COUNT(C50:U50))</f>
        <v>-1.1800116851384161</v>
      </c>
      <c r="C50">
        <f t="shared" si="0"/>
        <v>1.1685132787679247</v>
      </c>
      <c r="D50">
        <f t="shared" si="0"/>
        <v>1.3481257601768017</v>
      </c>
      <c r="E50">
        <f t="shared" si="0"/>
        <v>1.263774640113065</v>
      </c>
      <c r="F50">
        <f t="shared" ref="F50:O50" si="31">F17/(MIN(F$2:F$33))</f>
        <v>1.0011588130816507</v>
      </c>
      <c r="G50">
        <f t="shared" si="31"/>
        <v>1</v>
      </c>
      <c r="H50">
        <f t="shared" si="31"/>
        <v>1.1690344322704032</v>
      </c>
      <c r="I50">
        <f t="shared" si="31"/>
        <v>1.5475721709137551</v>
      </c>
      <c r="J50">
        <f t="shared" si="31"/>
        <v>1</v>
      </c>
      <c r="K50">
        <f t="shared" si="31"/>
        <v>1.001029586182447</v>
      </c>
      <c r="L50">
        <f t="shared" si="31"/>
        <v>1.0012308142695148</v>
      </c>
      <c r="M50">
        <f t="shared" si="31"/>
        <v>1.0064029139015891</v>
      </c>
      <c r="N50">
        <f t="shared" si="31"/>
        <v>1.2079235686778567</v>
      </c>
      <c r="O50">
        <f t="shared" si="31"/>
        <v>1.0029746818991174</v>
      </c>
      <c r="P50">
        <f t="shared" ref="P50:V50" si="32">P17/(MIN(P$2:P$33))</f>
        <v>1.0908673252276375</v>
      </c>
      <c r="Q50">
        <f t="shared" si="32"/>
        <v>1.0968120850469554</v>
      </c>
      <c r="R50">
        <f t="shared" si="32"/>
        <v>1.0583261942880919</v>
      </c>
      <c r="S50">
        <f>S17/(MIN(S$2:S$33))</f>
        <v>1.0024973221380651</v>
      </c>
      <c r="T50">
        <f>T17/(MIN(T$2:T$33))</f>
        <v>1.0252600475420885</v>
      </c>
      <c r="U50">
        <f>U17/(MIN(U$2:U$33))</f>
        <v>1.5285035051210072</v>
      </c>
    </row>
    <row r="51" spans="1:21" x14ac:dyDescent="0.25">
      <c r="A51">
        <v>16</v>
      </c>
      <c r="B51">
        <f>-10*LOG10(SUMSQ(C51:U51)/COUNT(C51:U51))</f>
        <v>-1.5064521030273861</v>
      </c>
      <c r="C51">
        <f t="shared" si="0"/>
        <v>1.1700123027545877</v>
      </c>
      <c r="D51">
        <f t="shared" si="0"/>
        <v>1.3584972892521372</v>
      </c>
      <c r="E51">
        <f t="shared" si="0"/>
        <v>1.0065677855705433</v>
      </c>
      <c r="F51">
        <f t="shared" ref="F51:O51" si="33">F18/(MIN(F$2:F$33))</f>
        <v>1.0028929482672828</v>
      </c>
      <c r="G51">
        <f t="shared" si="33"/>
        <v>2.0874910536638667</v>
      </c>
      <c r="H51">
        <f t="shared" si="33"/>
        <v>1.1713086137712025</v>
      </c>
      <c r="I51">
        <f t="shared" si="33"/>
        <v>1.0040698317058818</v>
      </c>
      <c r="J51">
        <f t="shared" si="33"/>
        <v>1.0000301534258182</v>
      </c>
      <c r="K51">
        <f t="shared" si="33"/>
        <v>1.0017413954943508</v>
      </c>
      <c r="L51">
        <f t="shared" si="33"/>
        <v>1.0070720077614597</v>
      </c>
      <c r="M51">
        <f t="shared" si="33"/>
        <v>1.0065090308250748</v>
      </c>
      <c r="N51">
        <f t="shared" si="33"/>
        <v>1.2081485516609645</v>
      </c>
      <c r="O51">
        <f t="shared" si="33"/>
        <v>1.0025472439921499</v>
      </c>
      <c r="P51">
        <f t="shared" ref="P51:V51" si="34">P18/(MIN(P$2:P$33))</f>
        <v>1.1382192736027308</v>
      </c>
      <c r="Q51">
        <f t="shared" si="34"/>
        <v>1.0951643227416823</v>
      </c>
      <c r="R51">
        <f t="shared" si="34"/>
        <v>1.117393825391511</v>
      </c>
      <c r="S51">
        <f>S18/(MIN(S$2:S$33))</f>
        <v>1.0827284804037798</v>
      </c>
      <c r="T51">
        <f>T18/(MIN(T$2:T$33))</f>
        <v>1.0762235922138181</v>
      </c>
      <c r="U51">
        <f>U18/(MIN(U$2:U$33))</f>
        <v>1.5288492189173133</v>
      </c>
    </row>
    <row r="52" spans="1:21" x14ac:dyDescent="0.25">
      <c r="A52">
        <v>17</v>
      </c>
      <c r="B52">
        <f>-10*LOG10(SUMSQ(C52:U52)/COUNT(C52:U52))</f>
        <v>-0.87866269186514345</v>
      </c>
      <c r="C52">
        <f t="shared" si="0"/>
        <v>1.1689704127333786</v>
      </c>
      <c r="D52">
        <f t="shared" si="0"/>
        <v>1.3538920435122173</v>
      </c>
      <c r="E52">
        <f t="shared" si="0"/>
        <v>1.2631157050927737</v>
      </c>
      <c r="F52">
        <f t="shared" ref="F52:O52" si="35">F19/(MIN(F$2:F$33))</f>
        <v>1.001556889623997</v>
      </c>
      <c r="G52">
        <f t="shared" si="35"/>
        <v>1.5525008764769663</v>
      </c>
      <c r="H52">
        <f t="shared" si="35"/>
        <v>1.1706660732265841</v>
      </c>
      <c r="I52">
        <f t="shared" si="35"/>
        <v>1.0031412266184252</v>
      </c>
      <c r="J52">
        <f t="shared" si="35"/>
        <v>1.0000301534258182</v>
      </c>
      <c r="K52">
        <f t="shared" si="35"/>
        <v>1.0088193483771106</v>
      </c>
      <c r="L52">
        <f t="shared" si="35"/>
        <v>1.0066623074818006</v>
      </c>
      <c r="M52">
        <f t="shared" si="35"/>
        <v>1.0061530124931652</v>
      </c>
      <c r="N52">
        <f t="shared" si="35"/>
        <v>1.0017310819845267</v>
      </c>
      <c r="O52">
        <f t="shared" si="35"/>
        <v>1.0009586891254336</v>
      </c>
      <c r="P52">
        <f t="shared" ref="P52:V52" si="36">P19/(MIN(P$2:P$33))</f>
        <v>1.0468158751041146</v>
      </c>
      <c r="Q52">
        <f t="shared" si="36"/>
        <v>1.0953813426637902</v>
      </c>
      <c r="R52">
        <f t="shared" si="36"/>
        <v>1.1168191076983156</v>
      </c>
      <c r="S52">
        <f>S19/(MIN(S$2:S$33))</f>
        <v>1.0019121503644528</v>
      </c>
      <c r="T52">
        <f>T19/(MIN(T$2:T$33))</f>
        <v>1.0250169401987459</v>
      </c>
      <c r="U52">
        <f>U19/(MIN(U$2:U$33))</f>
        <v>1.0144512417788816</v>
      </c>
    </row>
    <row r="53" spans="1:21" x14ac:dyDescent="0.25">
      <c r="A53">
        <v>18</v>
      </c>
      <c r="B53">
        <f>-10*LOG10(SUMSQ(C53:U53)/COUNT(C53:U53))</f>
        <v>-0.69050920797818804</v>
      </c>
      <c r="C53">
        <f t="shared" si="0"/>
        <v>1.083906185204047</v>
      </c>
      <c r="D53">
        <f t="shared" si="0"/>
        <v>1.3476692477526702</v>
      </c>
      <c r="E53">
        <f t="shared" si="0"/>
        <v>1.0005925200625896</v>
      </c>
      <c r="F53">
        <f t="shared" ref="F53:O53" si="37">F20/(MIN(F$2:F$33))</f>
        <v>1.0006493033321269</v>
      </c>
      <c r="G53">
        <f t="shared" si="37"/>
        <v>1.5477164458595045</v>
      </c>
      <c r="H53">
        <f t="shared" si="37"/>
        <v>1.1663854438537684</v>
      </c>
      <c r="I53">
        <f t="shared" si="37"/>
        <v>1.0012211542045735</v>
      </c>
      <c r="J53">
        <f t="shared" si="37"/>
        <v>1</v>
      </c>
      <c r="K53">
        <f t="shared" si="37"/>
        <v>1.000932526220875</v>
      </c>
      <c r="L53">
        <f t="shared" si="37"/>
        <v>1.007667819234275</v>
      </c>
      <c r="M53">
        <f t="shared" si="37"/>
        <v>1</v>
      </c>
      <c r="N53">
        <f t="shared" si="37"/>
        <v>1.000927067657964</v>
      </c>
      <c r="O53">
        <f t="shared" si="37"/>
        <v>1.0006292158926968</v>
      </c>
      <c r="P53">
        <f t="shared" ref="P53:V53" si="38">P20/(MIN(P$2:P$33))</f>
        <v>1.0434883130365129</v>
      </c>
      <c r="Q53">
        <f t="shared" si="38"/>
        <v>1.0524709295131973</v>
      </c>
      <c r="R53">
        <f t="shared" si="38"/>
        <v>1.1174190768839987</v>
      </c>
      <c r="S53">
        <f>S20/(MIN(S$2:S$33))</f>
        <v>1.0004901849661378</v>
      </c>
      <c r="T53">
        <f>T20/(MIN(T$2:T$33))</f>
        <v>1.0247130078100011</v>
      </c>
      <c r="U53">
        <f>U20/(MIN(U$2:U$33))</f>
        <v>1.0029302859309996</v>
      </c>
    </row>
    <row r="54" spans="1:21" x14ac:dyDescent="0.25">
      <c r="A54">
        <v>19</v>
      </c>
      <c r="B54">
        <f>-10*LOG10(SUMSQ(C54:U54)/COUNT(C54:U54))</f>
        <v>-1.7479989382189345</v>
      </c>
      <c r="C54">
        <f t="shared" si="0"/>
        <v>1.1717113932941876</v>
      </c>
      <c r="D54">
        <f t="shared" si="0"/>
        <v>1.7065622066017632</v>
      </c>
      <c r="E54">
        <f t="shared" si="0"/>
        <v>1.2664755878407685</v>
      </c>
      <c r="F54">
        <f t="shared" ref="F54:O54" si="39">F21/(MIN(F$2:F$33))</f>
        <v>1.0015970826536682</v>
      </c>
      <c r="G54">
        <f t="shared" si="39"/>
        <v>1.5514775383649284</v>
      </c>
      <c r="H54">
        <f t="shared" si="39"/>
        <v>1.1742217482229627</v>
      </c>
      <c r="I54">
        <f t="shared" si="39"/>
        <v>1.5482937399983323</v>
      </c>
      <c r="J54">
        <f t="shared" si="39"/>
        <v>1.0010105720720914</v>
      </c>
      <c r="K54">
        <f t="shared" si="39"/>
        <v>1.5632492368188002</v>
      </c>
      <c r="L54">
        <f t="shared" si="39"/>
        <v>1.0084853159818847</v>
      </c>
      <c r="M54">
        <f t="shared" si="39"/>
        <v>1.0066384722428994</v>
      </c>
      <c r="N54">
        <f t="shared" si="39"/>
        <v>1.2090750996336106</v>
      </c>
      <c r="O54">
        <f t="shared" si="39"/>
        <v>1.0038438002278802</v>
      </c>
      <c r="P54">
        <f t="shared" ref="P54:V54" si="40">P21/(MIN(P$2:P$33))</f>
        <v>1.0923359193426287</v>
      </c>
      <c r="Q54">
        <f t="shared" si="40"/>
        <v>1.1442075256700608</v>
      </c>
      <c r="R54">
        <f t="shared" si="40"/>
        <v>1.1195932039473704</v>
      </c>
      <c r="S54">
        <f>S21/(MIN(S$2:S$33))</f>
        <v>1.2524528481308572</v>
      </c>
      <c r="T54">
        <f>T21/(MIN(T$2:T$33))</f>
        <v>1.0242661771248771</v>
      </c>
      <c r="U54">
        <f>U21/(MIN(U$2:U$33))</f>
        <v>1.0102048385009692</v>
      </c>
    </row>
    <row r="55" spans="1:21" x14ac:dyDescent="0.25">
      <c r="A55">
        <v>20</v>
      </c>
      <c r="B55">
        <f>-10*LOG10(SUMSQ(C55:U55)/COUNT(C55:U55))</f>
        <v>-1.3381093729309335</v>
      </c>
      <c r="C55">
        <f t="shared" si="0"/>
        <v>1.0876211279661259</v>
      </c>
      <c r="D55">
        <f t="shared" si="0"/>
        <v>1.3524203424411627</v>
      </c>
      <c r="E55">
        <f t="shared" si="0"/>
        <v>1.5218796057235127</v>
      </c>
      <c r="F55">
        <f t="shared" ref="F55:O55" si="41">F22/(MIN(F$2:F$33))</f>
        <v>1.0011491786957403</v>
      </c>
      <c r="G55">
        <f t="shared" si="41"/>
        <v>1.5445004547603618</v>
      </c>
      <c r="H55">
        <f t="shared" si="41"/>
        <v>1.1698083190718083</v>
      </c>
      <c r="I55">
        <f t="shared" si="41"/>
        <v>1.54654690234063</v>
      </c>
      <c r="J55">
        <f t="shared" si="41"/>
        <v>1</v>
      </c>
      <c r="K55">
        <f t="shared" si="41"/>
        <v>1.0103680652982654</v>
      </c>
      <c r="L55">
        <f t="shared" si="41"/>
        <v>1.0065565643400511</v>
      </c>
      <c r="M55">
        <f t="shared" si="41"/>
        <v>1.0061698050404315</v>
      </c>
      <c r="N55">
        <f t="shared" si="41"/>
        <v>1.2098561255272782</v>
      </c>
      <c r="O55">
        <f t="shared" si="41"/>
        <v>1.0017982934976151</v>
      </c>
      <c r="P55">
        <f t="shared" ref="P55:V55" si="42">P22/(MIN(P$2:P$33))</f>
        <v>1.092116075866699</v>
      </c>
      <c r="Q55">
        <f t="shared" si="42"/>
        <v>1.0953909731622449</v>
      </c>
      <c r="R55">
        <f t="shared" si="42"/>
        <v>1.0590783406881974</v>
      </c>
      <c r="S55">
        <f>S22/(MIN(S$2:S$33))</f>
        <v>1.0848640127434215</v>
      </c>
      <c r="T55">
        <f>T22/(MIN(T$2:T$33))</f>
        <v>1.0759253678377041</v>
      </c>
      <c r="U55">
        <f>U22/(MIN(U$2:U$33))</f>
        <v>1.008737836721302</v>
      </c>
    </row>
    <row r="56" spans="1:21" x14ac:dyDescent="0.25">
      <c r="A56">
        <v>21</v>
      </c>
      <c r="B56">
        <f>-10*LOG10(SUMSQ(C56:U56)/COUNT(C56:U56))</f>
        <v>-1.3482758283224756</v>
      </c>
      <c r="C56">
        <f t="shared" si="0"/>
        <v>1.0840419621134563</v>
      </c>
      <c r="D56">
        <f t="shared" si="0"/>
        <v>1.3472017662359823</v>
      </c>
      <c r="E56">
        <f t="shared" si="0"/>
        <v>1.5226480464350367</v>
      </c>
      <c r="F56">
        <f t="shared" ref="F56:O56" si="43">F23/(MIN(F$2:F$33))</f>
        <v>1.0008359933058657</v>
      </c>
      <c r="G56">
        <f t="shared" si="43"/>
        <v>2.080361481022833</v>
      </c>
      <c r="H56">
        <f t="shared" si="43"/>
        <v>1.3390380105379978</v>
      </c>
      <c r="I56">
        <f t="shared" si="43"/>
        <v>1.0041497696344035</v>
      </c>
      <c r="J56">
        <f t="shared" si="43"/>
        <v>1</v>
      </c>
      <c r="K56">
        <f t="shared" si="43"/>
        <v>1.0009746245174604</v>
      </c>
      <c r="L56">
        <f t="shared" si="43"/>
        <v>1.0055318240893212</v>
      </c>
      <c r="M56">
        <f t="shared" si="43"/>
        <v>1.0058540670488039</v>
      </c>
      <c r="N56">
        <f t="shared" si="43"/>
        <v>1.0031659840973643</v>
      </c>
      <c r="O56">
        <f t="shared" si="43"/>
        <v>1.0005774175450453</v>
      </c>
      <c r="P56">
        <f t="shared" ref="P56:V56" si="44">P23/(MIN(P$2:P$33))</f>
        <v>1.0435713137321885</v>
      </c>
      <c r="Q56">
        <f t="shared" si="44"/>
        <v>1.0017534486831419</v>
      </c>
      <c r="R56">
        <f t="shared" si="44"/>
        <v>1.1173213047089086</v>
      </c>
      <c r="S56">
        <f>S23/(MIN(S$2:S$33))</f>
        <v>1.000374446221945</v>
      </c>
      <c r="T56">
        <f>T23/(MIN(T$2:T$33))</f>
        <v>1.0498327423740437</v>
      </c>
      <c r="U56">
        <f>U23/(MIN(U$2:U$33))</f>
        <v>1.0005877698591155</v>
      </c>
    </row>
    <row r="57" spans="1:21" x14ac:dyDescent="0.25">
      <c r="A57">
        <v>22</v>
      </c>
      <c r="B57">
        <f>-10*LOG10(SUMSQ(C57:U57)/COUNT(C57:U57))</f>
        <v>-1.4468722389232198</v>
      </c>
      <c r="C57">
        <f t="shared" si="0"/>
        <v>1.1709410488043797</v>
      </c>
      <c r="D57">
        <f t="shared" si="0"/>
        <v>1.3535869775767586</v>
      </c>
      <c r="E57">
        <f t="shared" si="0"/>
        <v>1.2659878084434384</v>
      </c>
      <c r="F57">
        <f t="shared" ref="F57:O57" si="45">F24/(MIN(F$2:F$33))</f>
        <v>1.0017652908899284</v>
      </c>
      <c r="G57">
        <f t="shared" si="45"/>
        <v>1.5469232884740425</v>
      </c>
      <c r="H57">
        <f t="shared" si="45"/>
        <v>1.1742525074276</v>
      </c>
      <c r="I57">
        <f t="shared" si="45"/>
        <v>1.5569579556661231</v>
      </c>
      <c r="J57">
        <f t="shared" si="45"/>
        <v>1.0000301534258182</v>
      </c>
      <c r="K57">
        <f t="shared" si="45"/>
        <v>1.5545999133449533</v>
      </c>
      <c r="L57">
        <f t="shared" si="45"/>
        <v>1.0081278889322776</v>
      </c>
      <c r="M57">
        <f t="shared" si="45"/>
        <v>1.0078852848568511</v>
      </c>
      <c r="N57">
        <f t="shared" si="45"/>
        <v>1.2086434347425183</v>
      </c>
      <c r="O57">
        <f t="shared" si="45"/>
        <v>1.0075737686452391</v>
      </c>
      <c r="P57">
        <f t="shared" ref="P57:V57" si="46">P24/(MIN(P$2:P$33))</f>
        <v>1.092342863763814</v>
      </c>
      <c r="Q57">
        <f t="shared" si="46"/>
        <v>1.0487676527001424</v>
      </c>
      <c r="R57">
        <f t="shared" si="46"/>
        <v>1.1190918756741213</v>
      </c>
      <c r="S57">
        <f>S24/(MIN(S$2:S$33))</f>
        <v>1.0022517760271017</v>
      </c>
      <c r="T57">
        <f>T24/(MIN(T$2:T$33))</f>
        <v>1</v>
      </c>
      <c r="U57">
        <f>U24/(MIN(U$2:U$33))</f>
        <v>1.0155583258581229</v>
      </c>
    </row>
    <row r="58" spans="1:21" x14ac:dyDescent="0.25">
      <c r="A58">
        <v>23</v>
      </c>
      <c r="B58">
        <f>-10*LOG10(SUMSQ(C58:U58)/COUNT(C58:U58))</f>
        <v>-0.5353205012758776</v>
      </c>
      <c r="C58">
        <f t="shared" si="0"/>
        <v>1.0857738998334783</v>
      </c>
      <c r="D58">
        <f t="shared" si="0"/>
        <v>1.3580279129159745</v>
      </c>
      <c r="E58">
        <f t="shared" si="0"/>
        <v>1.2625456230365861</v>
      </c>
      <c r="F58">
        <f t="shared" ref="F58:O58" si="47">F25/(MIN(F$2:F$33))</f>
        <v>1.0004993868595389</v>
      </c>
      <c r="G58">
        <f t="shared" si="47"/>
        <v>1.0129931110866819</v>
      </c>
      <c r="H58">
        <f t="shared" si="47"/>
        <v>1.1727094388656523</v>
      </c>
      <c r="I58">
        <f t="shared" si="47"/>
        <v>1.0032456468842199</v>
      </c>
      <c r="J58">
        <f t="shared" si="47"/>
        <v>1.0000301534258182</v>
      </c>
      <c r="K58">
        <f t="shared" si="47"/>
        <v>1.0077911219587652</v>
      </c>
      <c r="L58">
        <f t="shared" si="47"/>
        <v>1.0075707248371439</v>
      </c>
      <c r="M58">
        <f t="shared" si="47"/>
        <v>1.0065281095538163</v>
      </c>
      <c r="N58">
        <f t="shared" si="47"/>
        <v>1.0024652546802986</v>
      </c>
      <c r="O58">
        <f t="shared" si="47"/>
        <v>1.002356432201297</v>
      </c>
      <c r="P58">
        <f t="shared" ref="P58:V58" si="48">P25/(MIN(P$2:P$33))</f>
        <v>1.0447772182053534</v>
      </c>
      <c r="Q58">
        <f t="shared" si="48"/>
        <v>1.0974105718799139</v>
      </c>
      <c r="R58">
        <f t="shared" si="48"/>
        <v>1.0011776620863697</v>
      </c>
      <c r="S58">
        <f>S25/(MIN(S$2:S$33))</f>
        <v>1.0027131751217719</v>
      </c>
      <c r="T58">
        <f>T25/(MIN(T$2:T$33))</f>
        <v>1.0496609864741697</v>
      </c>
      <c r="U58">
        <f>U25/(MIN(U$2:U$33))</f>
        <v>1.0036249440144402</v>
      </c>
    </row>
    <row r="59" spans="1:21" x14ac:dyDescent="0.25">
      <c r="A59">
        <v>24</v>
      </c>
      <c r="B59">
        <f>-10*LOG10(SUMSQ(C59:U59)/COUNT(C59:U59))</f>
        <v>-1.1931782235045394</v>
      </c>
      <c r="C59">
        <f t="shared" si="0"/>
        <v>1.0831799090583523</v>
      </c>
      <c r="D59">
        <f t="shared" si="0"/>
        <v>1.3519416832279394</v>
      </c>
      <c r="E59">
        <f t="shared" si="0"/>
        <v>1.2646067857540415</v>
      </c>
      <c r="F59">
        <f t="shared" ref="F59:O59" si="49">F26/(MIN(F$2:F$33))</f>
        <v>1.0007708051510584</v>
      </c>
      <c r="G59">
        <f t="shared" si="49"/>
        <v>2.0869375104216474</v>
      </c>
      <c r="H59">
        <f t="shared" si="49"/>
        <v>1.0022810794267778</v>
      </c>
      <c r="I59">
        <f t="shared" si="49"/>
        <v>1.0025935656216058</v>
      </c>
      <c r="J59">
        <f t="shared" si="49"/>
        <v>1</v>
      </c>
      <c r="K59">
        <f t="shared" si="49"/>
        <v>1.001697284746895</v>
      </c>
      <c r="L59">
        <f t="shared" si="49"/>
        <v>1.0055399560850473</v>
      </c>
      <c r="M59">
        <f t="shared" si="49"/>
        <v>1.0060566662738426</v>
      </c>
      <c r="N59">
        <f t="shared" si="49"/>
        <v>1.2077591239393541</v>
      </c>
      <c r="O59">
        <f t="shared" si="49"/>
        <v>1.0003048872945937</v>
      </c>
      <c r="P59">
        <f t="shared" ref="P59:V59" si="50">P26/(MIN(P$2:P$33))</f>
        <v>1.1373930536609658</v>
      </c>
      <c r="Q59">
        <f t="shared" si="50"/>
        <v>1</v>
      </c>
      <c r="R59">
        <f t="shared" si="50"/>
        <v>1.0601745506585383</v>
      </c>
      <c r="S59">
        <f>S26/(MIN(S$2:S$33))</f>
        <v>1.0002488261895861</v>
      </c>
      <c r="T59">
        <f>T26/(MIN(T$2:T$33))</f>
        <v>1.0513119018542709</v>
      </c>
      <c r="U59">
        <f>U26/(MIN(U$2:U$33))</f>
        <v>1.0155597103541922</v>
      </c>
    </row>
    <row r="60" spans="1:21" x14ac:dyDescent="0.25">
      <c r="A60">
        <v>25</v>
      </c>
      <c r="B60">
        <f>-10*LOG10(SUMSQ(C60:U60)/COUNT(C60:U60))</f>
        <v>-1.7426924558727317</v>
      </c>
      <c r="C60">
        <f t="shared" si="0"/>
        <v>1.0882932789862154</v>
      </c>
      <c r="D60">
        <f t="shared" si="0"/>
        <v>1.3598139627995482</v>
      </c>
      <c r="E60">
        <f t="shared" si="0"/>
        <v>1.2640251571793906</v>
      </c>
      <c r="F60">
        <f t="shared" ref="F60:O60" si="51">F27/(MIN(F$2:F$33))</f>
        <v>1.0024983455316872</v>
      </c>
      <c r="G60">
        <f t="shared" si="51"/>
        <v>2.0902560363280878</v>
      </c>
      <c r="H60">
        <f t="shared" si="51"/>
        <v>1.1704899702685947</v>
      </c>
      <c r="I60">
        <f t="shared" si="51"/>
        <v>1.5481923093248779</v>
      </c>
      <c r="J60">
        <f t="shared" si="51"/>
        <v>1.0000301534258182</v>
      </c>
      <c r="K60">
        <f t="shared" si="51"/>
        <v>1.0084121262239645</v>
      </c>
      <c r="L60">
        <f t="shared" si="51"/>
        <v>1.008883348615502</v>
      </c>
      <c r="M60">
        <f t="shared" si="51"/>
        <v>1.0072839919123611</v>
      </c>
      <c r="N60">
        <f t="shared" si="51"/>
        <v>1.209276666207679</v>
      </c>
      <c r="O60">
        <f t="shared" si="51"/>
        <v>1.0014969262161915</v>
      </c>
      <c r="P60">
        <f t="shared" ref="P60:V60" si="52">P27/(MIN(P$2:P$33))</f>
        <v>1.0963852284217555</v>
      </c>
      <c r="Q60">
        <f t="shared" si="52"/>
        <v>1.1010193767461947</v>
      </c>
      <c r="R60">
        <f t="shared" si="52"/>
        <v>1.058349066195682</v>
      </c>
      <c r="S60">
        <f>S27/(MIN(S$2:S$33))</f>
        <v>1.0868562930886461</v>
      </c>
      <c r="T60">
        <f>T27/(MIN(T$2:T$33))</f>
        <v>1.0253420822254131</v>
      </c>
      <c r="U60">
        <f>U27/(MIN(U$2:U$33))</f>
        <v>1.5253097547157539</v>
      </c>
    </row>
    <row r="61" spans="1:21" x14ac:dyDescent="0.25">
      <c r="A61">
        <v>26</v>
      </c>
      <c r="B61">
        <f>-10*LOG10(SUMSQ(C61:U61)/COUNT(C61:U61))</f>
        <v>-1.437540437224867</v>
      </c>
      <c r="C61">
        <f t="shared" si="0"/>
        <v>1.1703326901827504</v>
      </c>
      <c r="D61">
        <f t="shared" si="0"/>
        <v>1.3569644324479386</v>
      </c>
      <c r="E61">
        <f t="shared" si="0"/>
        <v>1.0002276680603788</v>
      </c>
      <c r="F61">
        <f t="shared" ref="F61:O61" si="53">F28/(MIN(F$2:F$33))</f>
        <v>1.0010457786666742</v>
      </c>
      <c r="G61">
        <f t="shared" si="53"/>
        <v>2.0868209058877865</v>
      </c>
      <c r="H61">
        <f t="shared" si="53"/>
        <v>1.1695301503345414</v>
      </c>
      <c r="I61">
        <f t="shared" si="53"/>
        <v>1.5466057245899194</v>
      </c>
      <c r="J61">
        <f t="shared" si="53"/>
        <v>1</v>
      </c>
      <c r="K61">
        <f t="shared" si="53"/>
        <v>1.0025317991713272</v>
      </c>
      <c r="L61">
        <f t="shared" si="53"/>
        <v>1.0072431604340495</v>
      </c>
      <c r="M61">
        <f t="shared" si="53"/>
        <v>1.0076852439777491</v>
      </c>
      <c r="N61">
        <f t="shared" si="53"/>
        <v>1.0010154141620424</v>
      </c>
      <c r="O61">
        <f t="shared" si="53"/>
        <v>1.0011147069399495</v>
      </c>
      <c r="P61">
        <f t="shared" ref="P61:V61" si="54">P28/(MIN(P$2:P$33))</f>
        <v>1.1404329617468818</v>
      </c>
      <c r="Q61">
        <f t="shared" si="54"/>
        <v>1.0504915377740698</v>
      </c>
      <c r="R61">
        <f t="shared" si="54"/>
        <v>1.1177328334333922</v>
      </c>
      <c r="S61">
        <f>S28/(MIN(S$2:S$33))</f>
        <v>1.1678757827410899</v>
      </c>
      <c r="T61">
        <f>T28/(MIN(T$2:T$33))</f>
        <v>1.0244271945045929</v>
      </c>
      <c r="U61">
        <f>U28/(MIN(U$2:U$33))</f>
        <v>1.0102819856986172</v>
      </c>
    </row>
    <row r="62" spans="1:21" x14ac:dyDescent="0.25">
      <c r="A62">
        <v>27</v>
      </c>
      <c r="B62">
        <f>-10*LOG10(SUMSQ(C62:U62)/COUNT(C62:U62))</f>
        <v>-1.3734410080962347</v>
      </c>
      <c r="C62">
        <f t="shared" si="0"/>
        <v>1.0845201046830151</v>
      </c>
      <c r="D62">
        <f t="shared" si="0"/>
        <v>1.353315809787869</v>
      </c>
      <c r="E62">
        <f t="shared" si="0"/>
        <v>1.0058031851360165</v>
      </c>
      <c r="F62">
        <f t="shared" ref="F62:O62" si="55">F29/(MIN(F$2:F$33))</f>
        <v>1.0010457786666742</v>
      </c>
      <c r="G62">
        <f t="shared" si="55"/>
        <v>1.5491663780809417</v>
      </c>
      <c r="H62">
        <f t="shared" si="55"/>
        <v>1.1695579688886397</v>
      </c>
      <c r="I62">
        <f t="shared" si="55"/>
        <v>1.0037662668836556</v>
      </c>
      <c r="J62">
        <f t="shared" si="55"/>
        <v>1</v>
      </c>
      <c r="K62">
        <f t="shared" si="55"/>
        <v>1.5464015148424779</v>
      </c>
      <c r="L62">
        <f t="shared" si="55"/>
        <v>1.0051059142128302</v>
      </c>
      <c r="M62">
        <f t="shared" si="55"/>
        <v>1.0064990151728967</v>
      </c>
      <c r="N62">
        <f t="shared" si="55"/>
        <v>1.2086650577277149</v>
      </c>
      <c r="O62">
        <f t="shared" si="55"/>
        <v>1.0003441489799543</v>
      </c>
      <c r="P62">
        <f t="shared" ref="P62:V62" si="56">P29/(MIN(P$2:P$33))</f>
        <v>1.1377098545509825</v>
      </c>
      <c r="Q62">
        <f t="shared" si="56"/>
        <v>1.1442950626239261</v>
      </c>
      <c r="R62">
        <f t="shared" si="56"/>
        <v>1.1173613043979065</v>
      </c>
      <c r="S62">
        <f>S29/(MIN(S$2:S$33))</f>
        <v>1.0852776023316588</v>
      </c>
      <c r="T62">
        <f>T29/(MIN(T$2:T$33))</f>
        <v>1.0244251851298762</v>
      </c>
      <c r="U62">
        <f>U29/(MIN(U$2:U$33))</f>
        <v>1.5214890070627505</v>
      </c>
    </row>
    <row r="63" spans="1:21" x14ac:dyDescent="0.25">
      <c r="A63">
        <v>28</v>
      </c>
      <c r="B63">
        <f>-10*LOG10(SUMSQ(C63:U63)/COUNT(C63:U63))</f>
        <v>-1.4647954377987016</v>
      </c>
      <c r="C63">
        <f t="shared" si="0"/>
        <v>1.1682180229342187</v>
      </c>
      <c r="D63">
        <f t="shared" si="0"/>
        <v>1.3526296939176417</v>
      </c>
      <c r="E63">
        <f t="shared" si="0"/>
        <v>1.2633372980661302</v>
      </c>
      <c r="F63">
        <f t="shared" ref="F63:O63" si="57">F30/(MIN(F$2:F$33))</f>
        <v>1.0021468668502085</v>
      </c>
      <c r="G63">
        <f t="shared" si="57"/>
        <v>2.0815952486452995</v>
      </c>
      <c r="H63">
        <f t="shared" si="57"/>
        <v>1.1708034940271985</v>
      </c>
      <c r="I63">
        <f t="shared" si="57"/>
        <v>1.5483905112170584</v>
      </c>
      <c r="J63">
        <f t="shared" si="57"/>
        <v>1.0025599069674949</v>
      </c>
      <c r="K63">
        <f t="shared" si="57"/>
        <v>1.0077058103590311</v>
      </c>
      <c r="L63">
        <f t="shared" si="57"/>
        <v>1.0075138280643714</v>
      </c>
      <c r="M63">
        <f t="shared" si="57"/>
        <v>1.0070805489774919</v>
      </c>
      <c r="N63">
        <f t="shared" si="57"/>
        <v>1.002734981550305</v>
      </c>
      <c r="O63">
        <f t="shared" si="57"/>
        <v>1.0017277307720633</v>
      </c>
      <c r="P63">
        <f t="shared" ref="P63:V63" si="58">P30/(MIN(P$2:P$33))</f>
        <v>1.0929396931133655</v>
      </c>
      <c r="Q63">
        <f t="shared" si="58"/>
        <v>1.0503461590782655</v>
      </c>
      <c r="R63">
        <f t="shared" si="58"/>
        <v>1.0594437130198997</v>
      </c>
      <c r="S63">
        <f>S30/(MIN(S$2:S$33))</f>
        <v>1.0849140431791848</v>
      </c>
      <c r="T63">
        <f>T30/(MIN(T$2:T$33))</f>
        <v>1.0237674253798192</v>
      </c>
      <c r="U63">
        <f>U30/(MIN(U$2:U$33))</f>
        <v>1.0106500052649308</v>
      </c>
    </row>
    <row r="64" spans="1:21" x14ac:dyDescent="0.25">
      <c r="A64">
        <v>29</v>
      </c>
      <c r="B64">
        <f>-10*LOG10(SUMSQ(C64:U64)/COUNT(C64:U64))</f>
        <v>-1.0959270249500779</v>
      </c>
      <c r="C64">
        <f t="shared" si="0"/>
        <v>1.0028400317782691</v>
      </c>
      <c r="D64">
        <f t="shared" si="0"/>
        <v>1.3480113582780464</v>
      </c>
      <c r="E64">
        <f t="shared" si="0"/>
        <v>1.0031432603003838</v>
      </c>
      <c r="F64">
        <f t="shared" ref="F64:O64" si="59">F31/(MIN(F$2:F$33))</f>
        <v>1.0010992970019283</v>
      </c>
      <c r="G64">
        <f t="shared" si="59"/>
        <v>1.5456697428359498</v>
      </c>
      <c r="H64">
        <f t="shared" si="59"/>
        <v>1.3412259049501256</v>
      </c>
      <c r="I64">
        <f t="shared" si="59"/>
        <v>1.5486246690171148</v>
      </c>
      <c r="J64">
        <f t="shared" si="59"/>
        <v>1</v>
      </c>
      <c r="K64">
        <f t="shared" si="59"/>
        <v>1.0012911504050301</v>
      </c>
      <c r="L64">
        <f t="shared" si="59"/>
        <v>1.0071734809255202</v>
      </c>
      <c r="M64">
        <f t="shared" si="59"/>
        <v>1.0064566119498162</v>
      </c>
      <c r="N64">
        <f t="shared" si="59"/>
        <v>1</v>
      </c>
      <c r="O64">
        <f t="shared" si="59"/>
        <v>1.002187309106978</v>
      </c>
      <c r="P64">
        <f t="shared" ref="P64:V64" si="60">P31/(MIN(P$2:P$33))</f>
        <v>1.1389766110653989</v>
      </c>
      <c r="Q64">
        <f t="shared" si="60"/>
        <v>1.0490376544640418</v>
      </c>
      <c r="R64">
        <f t="shared" si="60"/>
        <v>1.0596640933794905</v>
      </c>
      <c r="S64">
        <f>S31/(MIN(S$2:S$33))</f>
        <v>1.1671590219309669</v>
      </c>
      <c r="T64">
        <f>T31/(MIN(T$2:T$33))</f>
        <v>1.0509517211149364</v>
      </c>
      <c r="U64">
        <f>U31/(MIN(U$2:U$33))</f>
        <v>1.0072466062604195</v>
      </c>
    </row>
    <row r="65" spans="1:21" x14ac:dyDescent="0.25">
      <c r="A65">
        <v>30</v>
      </c>
      <c r="B65">
        <f>-10*LOG10(SUMSQ(C65:U65)/COUNT(C65:U65))</f>
        <v>-1.1211992605635326</v>
      </c>
      <c r="C65">
        <f t="shared" si="0"/>
        <v>1.0844184387852411</v>
      </c>
      <c r="D65">
        <f t="shared" si="0"/>
        <v>1.3520641511472116</v>
      </c>
      <c r="E65">
        <f t="shared" si="0"/>
        <v>1.2633420502483677</v>
      </c>
      <c r="F65">
        <f t="shared" ref="F65:O65" si="61">F32/(MIN(F$2:F$33))</f>
        <v>1.0010014604914867</v>
      </c>
      <c r="G65">
        <f t="shared" si="61"/>
        <v>1.5427993846196395</v>
      </c>
      <c r="H65">
        <f t="shared" si="61"/>
        <v>1.16951536306326</v>
      </c>
      <c r="I65">
        <f t="shared" si="61"/>
        <v>1.5465196458771313</v>
      </c>
      <c r="J65">
        <f t="shared" si="61"/>
        <v>1</v>
      </c>
      <c r="K65">
        <f t="shared" si="61"/>
        <v>1.0068377913471356</v>
      </c>
      <c r="L65">
        <f t="shared" si="61"/>
        <v>1.0064364066239375</v>
      </c>
      <c r="M65">
        <f t="shared" si="61"/>
        <v>1.0064171753193647</v>
      </c>
      <c r="N65">
        <f t="shared" si="61"/>
        <v>1.2085123110038241</v>
      </c>
      <c r="O65">
        <f t="shared" si="61"/>
        <v>1.0009214311398777</v>
      </c>
      <c r="P65">
        <f t="shared" ref="P65:V65" si="62">P32/(MIN(P$2:P$33))</f>
        <v>1.0911897551479712</v>
      </c>
      <c r="Q65">
        <f t="shared" si="62"/>
        <v>1.0493596933502649</v>
      </c>
      <c r="R65">
        <f t="shared" si="62"/>
        <v>1.0007076432232054</v>
      </c>
      <c r="S65">
        <f>S32/(MIN(S$2:S$33))</f>
        <v>1.0020395069090238</v>
      </c>
      <c r="T65">
        <f>T32/(MIN(T$2:T$33))</f>
        <v>1.0258772521195239</v>
      </c>
      <c r="U65">
        <f>U32/(MIN(U$2:U$33))</f>
        <v>1.0015404826266125</v>
      </c>
    </row>
    <row r="66" spans="1:21" x14ac:dyDescent="0.25">
      <c r="A66">
        <v>31</v>
      </c>
      <c r="B66">
        <f>-10*LOG10(SUMSQ(C66:U66)/COUNT(C66:U66))</f>
        <v>-1.0093341058964387</v>
      </c>
      <c r="C66">
        <f t="shared" si="0"/>
        <v>1.0836525612136232</v>
      </c>
      <c r="D66">
        <f t="shared" si="0"/>
        <v>1.3489925270927459</v>
      </c>
      <c r="E66">
        <f t="shared" si="0"/>
        <v>1</v>
      </c>
      <c r="F66">
        <f t="shared" ref="F66:O66" si="63">F33/(MIN(F$2:F$33))</f>
        <v>1.0004009261494466</v>
      </c>
      <c r="G66">
        <f t="shared" si="63"/>
        <v>1.5369950194239943</v>
      </c>
      <c r="H66">
        <f t="shared" si="63"/>
        <v>1.0012430717958234</v>
      </c>
      <c r="I66">
        <f t="shared" si="63"/>
        <v>1.5464125053516398</v>
      </c>
      <c r="J66">
        <f t="shared" si="63"/>
        <v>1</v>
      </c>
      <c r="K66">
        <f t="shared" si="63"/>
        <v>1</v>
      </c>
      <c r="L66">
        <f t="shared" si="63"/>
        <v>1.0059781047510927</v>
      </c>
      <c r="M66">
        <f t="shared" si="63"/>
        <v>1.0063494608013774</v>
      </c>
      <c r="N66">
        <f t="shared" si="63"/>
        <v>1.2072734117751787</v>
      </c>
      <c r="O66">
        <f t="shared" si="63"/>
        <v>1.0021113038995246</v>
      </c>
      <c r="P66">
        <f t="shared" ref="P66:V66" si="64">P33/(MIN(P$2:P$33))</f>
        <v>1.0919754764986451</v>
      </c>
      <c r="Q66">
        <f t="shared" si="64"/>
        <v>1.0962710568980425</v>
      </c>
      <c r="R66">
        <f t="shared" si="64"/>
        <v>1.0586249527700338</v>
      </c>
      <c r="S66">
        <f>S33/(MIN(S$2:S$33))</f>
        <v>1.0817390461240715</v>
      </c>
      <c r="T66">
        <f>T33/(MIN(T$2:T$33))</f>
        <v>1.0239113932857726</v>
      </c>
      <c r="U66">
        <f>U33/(MIN(U$2:U$33))</f>
        <v>1</v>
      </c>
    </row>
    <row r="71" spans="1:21" x14ac:dyDescent="0.25">
      <c r="B71" t="s">
        <v>43</v>
      </c>
      <c r="C71" t="s">
        <v>44</v>
      </c>
      <c r="D71" t="s">
        <v>45</v>
      </c>
      <c r="E71" t="s">
        <v>46</v>
      </c>
    </row>
    <row r="72" spans="1:21" x14ac:dyDescent="0.25">
      <c r="A72" t="s">
        <v>34</v>
      </c>
      <c r="B72" cm="1">
        <f t="array" ref="B72">SUMPRODUCT(--(MID($B$2:$B$33,2,1)="1"),$B$35:$B$66)/SUMPRODUCT(--(MID($B$2:$B$33,2,1)="1"))</f>
        <v>-1.3564147818333308</v>
      </c>
      <c r="C72" cm="1">
        <f t="array" ref="C72">SUMPRODUCT(--(MID($B$2:$B$33,2,1)="2"),$B$35:$B$66)/SUMPRODUCT(--(MID($B$2:$B$33,2,1)="2"))</f>
        <v>-1.1961069292263824</v>
      </c>
      <c r="D72" cm="1">
        <f t="array" ref="D72">SUMPRODUCT(--(MID($B$2:$B$33,2,1)="3"),$B$35:$B$66)/SUMPRODUCT(--(MID($B$2:$B$33,2,1)="3"))</f>
        <v>-1.4057136329630278</v>
      </c>
      <c r="E72" cm="1">
        <f t="array" ref="E72">SUMPRODUCT(--(MID($B$2:$B$33,2,1)="4"),$B$35:$B$66)/SUMPRODUCT(--(MID($B$2:$B$33,2,1)="4"))</f>
        <v>-1.2307037556892464</v>
      </c>
      <c r="F72">
        <v>2</v>
      </c>
    </row>
    <row r="73" spans="1:21" x14ac:dyDescent="0.25">
      <c r="A73" t="s">
        <v>35</v>
      </c>
      <c r="B73" cm="1">
        <f t="array" ref="B73">SUMPRODUCT(--(MID($B$2:$B$33,4,1)="1"),$B$35:$B$66)/SUMPRODUCT(--(MID($B$2:$B$33,4,1)="1"))</f>
        <v>-1.3554435604479294</v>
      </c>
      <c r="C73" cm="1">
        <f t="array" ref="C73">SUMPRODUCT(--(MID($B$2:$B$33,4,1)="2"),$B$35:$B$66)/SUMPRODUCT(--(MID($B$2:$B$33,4,1)="2"))</f>
        <v>-1.253892101014618</v>
      </c>
      <c r="D73" cm="1">
        <f t="array" ref="D73">SUMPRODUCT(--(MID($B$2:$B$33,4,1)="3"),$B$35:$B$66)/SUMPRODUCT(--(MID($B$2:$B$33,4,1)="3"))</f>
        <v>-1.301372313134713</v>
      </c>
      <c r="E73" cm="1">
        <f t="array" ref="E73">SUMPRODUCT(--(MID($B$2:$B$33,4,1)="4"),$B$35:$B$66)/SUMPRODUCT(--(MID($B$2:$B$33,4,1)="4"))</f>
        <v>-1.2782311251147265</v>
      </c>
      <c r="F73">
        <v>2</v>
      </c>
    </row>
    <row r="74" spans="1:21" x14ac:dyDescent="0.25">
      <c r="A74" t="s">
        <v>36</v>
      </c>
      <c r="B74" cm="1">
        <f t="array" ref="B74">SUMPRODUCT(--(MID($B$2:$B$33,6,1)="1"),$B$35:$B$66)/SUMPRODUCT(--(MID($B$2:$B$33,6,1)="1"))</f>
        <v>-1.6489214921853315</v>
      </c>
      <c r="C74" cm="1">
        <f t="array" ref="C74">SUMPRODUCT(--(MID($B$2:$B$33,6,1)="2"),$B$35:$B$66)/SUMPRODUCT(--(MID($B$2:$B$33,6,1)="2"))</f>
        <v>-1.2361911465778186</v>
      </c>
      <c r="D74" cm="1">
        <f t="array" ref="D74">SUMPRODUCT(--(MID($B$2:$B$33,6,1)="3"),$B$35:$B$66)/SUMPRODUCT(--(MID($B$2:$B$33,6,1)="3"))</f>
        <v>-1.2113732005803541</v>
      </c>
      <c r="E74" cm="1">
        <f t="array" ref="E74">SUMPRODUCT(--(MID($B$2:$B$33,6,1)="4"),$B$35:$B$66)/SUMPRODUCT(--(MID($B$2:$B$33,6,1)="4"))</f>
        <v>-1.0924532603684827</v>
      </c>
      <c r="F74">
        <v>4</v>
      </c>
    </row>
    <row r="75" spans="1:21" x14ac:dyDescent="0.25">
      <c r="A75" t="s">
        <v>37</v>
      </c>
      <c r="B75" cm="1">
        <f t="array" ref="B75">SUMPRODUCT(--(MID($B$2:$B$33,8,1)="1"),$B$35:$B$66)/SUMPRODUCT(--(MID($B$2:$B$33,8,1)="1"))</f>
        <v>-1.1060486436016732</v>
      </c>
      <c r="C75" cm="1">
        <f t="array" ref="C75">SUMPRODUCT(--(MID($B$2:$B$33,8,1)="2"),$B$35:$B$66)/SUMPRODUCT(--(MID($B$2:$B$33,8,1)="2"))</f>
        <v>-1.3661680037068153</v>
      </c>
      <c r="D75" cm="1">
        <f t="array" ref="D75">SUMPRODUCT(--(MID($B$2:$B$33,8,1)="3"),$B$35:$B$66)/SUMPRODUCT(--(MID($B$2:$B$33,8,1)="3"))</f>
        <v>-1.3131554663623435</v>
      </c>
      <c r="E75" cm="1">
        <f t="array" ref="E75">SUMPRODUCT(--(MID($B$2:$B$33,8,1)="4"),$B$35:$B$66)/SUMPRODUCT(--(MID($B$2:$B$33,8,1)="4"))</f>
        <v>-1.4035669860411548</v>
      </c>
      <c r="F75">
        <v>1</v>
      </c>
    </row>
    <row r="76" spans="1:21" x14ac:dyDescent="0.25">
      <c r="A76" t="s">
        <v>38</v>
      </c>
      <c r="B76" cm="1">
        <f t="array" ref="B76">SUMPRODUCT(--(MID($B$2:$B$33,10,1)="1"),$B$35:$B$66)/SUMPRODUCT(--(MID($B$2:$B$33,10,1)="1"))</f>
        <v>-1.3288315163332298</v>
      </c>
      <c r="C76" cm="1">
        <f t="array" ref="C76">SUMPRODUCT(--(MID($B$2:$B$33,10,1)="2"),$B$35:$B$66)/SUMPRODUCT(--(MID($B$2:$B$33,10,1)="2"))</f>
        <v>-1.2917575241406234</v>
      </c>
      <c r="D76" cm="1">
        <f t="array" ref="D76">SUMPRODUCT(--(MID($B$2:$B$33,10,1)="3"),$B$35:$B$66)/SUMPRODUCT(--(MID($B$2:$B$33,10,1)="3"))</f>
        <v>-1.3640527043595687</v>
      </c>
      <c r="E76" cm="1">
        <f t="array" ref="E76">SUMPRODUCT(--(MID($B$2:$B$33,10,1)="4"),$B$35:$B$66)/SUMPRODUCT(--(MID($B$2:$B$33,10,1)="4"))</f>
        <v>-1.2042973548785649</v>
      </c>
      <c r="F76">
        <v>4</v>
      </c>
    </row>
    <row r="77" spans="1:21" x14ac:dyDescent="0.25">
      <c r="A77" t="s">
        <v>39</v>
      </c>
      <c r="B77" cm="1">
        <f t="array" ref="B77">SUMPRODUCT(--(MID($B$2:$B$33,12,1)="1"),$B$35:$B$66)/SUMPRODUCT(--(MID($B$2:$B$33,12,1)="1"))</f>
        <v>-1.274965698679976</v>
      </c>
      <c r="C77" cm="1">
        <f t="array" ref="C77">SUMPRODUCT(--(MID($B$2:$B$33,12,1)="2"),$B$35:$B$66)/SUMPRODUCT(--(MID($B$2:$B$33,12,1)="2"))</f>
        <v>-1.5708621769634592</v>
      </c>
      <c r="D77" cm="1">
        <f t="array" ref="D77">SUMPRODUCT(--(MID($B$2:$B$33,12,1)="3"),$B$35:$B$66)/SUMPRODUCT(--(MID($B$2:$B$33,12,1)="3"))</f>
        <v>-1.1442384112840405</v>
      </c>
      <c r="E77" cm="1">
        <f t="array" ref="E77">SUMPRODUCT(--(MID($B$2:$B$33,12,1)="4"),$B$35:$B$66)/SUMPRODUCT(--(MID($B$2:$B$33,12,1)="4"))</f>
        <v>-1.1988728127845112</v>
      </c>
      <c r="F77">
        <v>3</v>
      </c>
    </row>
    <row r="78" spans="1:21" x14ac:dyDescent="0.25">
      <c r="A78" t="s">
        <v>40</v>
      </c>
      <c r="B78" cm="1">
        <f t="array" ref="B78">SUMPRODUCT(--(MID($B$2:$B$33,14,1)="1"),$B$35:$B$66)/SUMPRODUCT(--(MID($B$2:$B$33,14,1)="1"))</f>
        <v>-1.4779763015911382</v>
      </c>
      <c r="C78" cm="1">
        <f t="array" ref="C78">SUMPRODUCT(--(MID($B$2:$B$33,14,1)="2"),$B$35:$B$66)/SUMPRODUCT(--(MID($B$2:$B$33,14,1)="2"))</f>
        <v>-1.2890306705221977</v>
      </c>
      <c r="D78" cm="1">
        <f t="array" ref="D78">SUMPRODUCT(--(MID($B$2:$B$33,14,1)="3"),$B$35:$B$66)/SUMPRODUCT(--(MID($B$2:$B$33,14,1)="3"))</f>
        <v>-1.1558409950682946</v>
      </c>
      <c r="E78" cm="1">
        <f t="array" ref="E78">SUMPRODUCT(--(MID($B$2:$B$33,14,1)="4"),$B$35:$B$66)/SUMPRODUCT(--(MID($B$2:$B$33,14,1)="4"))</f>
        <v>-1.2660911325303563</v>
      </c>
      <c r="F78">
        <v>3</v>
      </c>
    </row>
    <row r="79" spans="1:21" x14ac:dyDescent="0.25">
      <c r="A79" t="s">
        <v>41</v>
      </c>
      <c r="B79" cm="1">
        <f t="array" ref="B79">SUMPRODUCT(--(MID($B$2:$B$33,16,1)="1"),$B$35:$B$66)/SUMPRODUCT(--(MID($B$2:$B$33,16,1)="1"))</f>
        <v>-1.3039745255313189</v>
      </c>
      <c r="C79" cm="1">
        <f t="array" ref="C79">SUMPRODUCT(--(MID($B$2:$B$33,16,1)="2"),$B$35:$B$66)/SUMPRODUCT(--(MID($B$2:$B$33,16,1)="2"))</f>
        <v>-1.172414315719462</v>
      </c>
      <c r="D79" cm="1">
        <f t="array" ref="D79">SUMPRODUCT(--(MID($B$2:$B$33,16,1)="3"),$B$35:$B$66)/SUMPRODUCT(--(MID($B$2:$B$33,16,1)="3"))</f>
        <v>-1.4426222350462927</v>
      </c>
      <c r="E79" cm="1">
        <f t="array" ref="E79">SUMPRODUCT(--(MID($B$2:$B$33,16,1)="4"),$B$35:$B$66)/SUMPRODUCT(--(MID($B$2:$B$33,16,1)="4"))</f>
        <v>-1.2699280234149133</v>
      </c>
      <c r="F79">
        <v>2</v>
      </c>
    </row>
    <row r="80" spans="1:21" x14ac:dyDescent="0.25">
      <c r="A80" t="s">
        <v>42</v>
      </c>
      <c r="B80" cm="1">
        <f t="array" ref="B80">SUMPRODUCT(--(MID($B$2:$B$33,18,1)="1"),$B$35:$B$66)/SUMPRODUCT(--(MID($B$2:$B$33,18,1)="1"))</f>
        <v>-1.3110722798537593</v>
      </c>
      <c r="C80" cm="1">
        <f t="array" ref="C80">SUMPRODUCT(--(MID($B$2:$B$33,18,1)="2"),$B$35:$B$66)/SUMPRODUCT(--(MID($B$2:$B$33,18,1)="2"))</f>
        <v>-1.3745349917544893</v>
      </c>
      <c r="D80" cm="1">
        <f t="array" ref="D80">SUMPRODUCT(--(MID($B$2:$B$33,18,1)="3"),$B$35:$B$66)/SUMPRODUCT(--(MID($B$2:$B$33,18,1)="3"))</f>
        <v>-1.1751878365698538</v>
      </c>
      <c r="E80" cm="1">
        <f t="array" ref="E80">SUMPRODUCT(--(MID($B$2:$B$33,18,1)="4"),$B$35:$B$66)/SUMPRODUCT(--(MID($B$2:$B$33,18,1)="4"))</f>
        <v>-1.3281439915338842</v>
      </c>
      <c r="F80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宏傑 楊</dc:creator>
  <cp:lastModifiedBy>楊宏傑</cp:lastModifiedBy>
  <dcterms:created xsi:type="dcterms:W3CDTF">2026-05-03T06:53:29Z</dcterms:created>
  <dcterms:modified xsi:type="dcterms:W3CDTF">2026-05-14T06:00:44Z</dcterms:modified>
</cp:coreProperties>
</file>