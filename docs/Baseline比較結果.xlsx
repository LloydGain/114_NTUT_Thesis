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0\OneDrive\桌面\115_NTUT_Thesis\docs\"/>
    </mc:Choice>
  </mc:AlternateContent>
  <xr:revisionPtr revIDLastSave="0" documentId="13_ncr:1_{D2280CCC-65A7-4AC5-939E-71D95FFD3E8A}" xr6:coauthVersionLast="47" xr6:coauthVersionMax="47" xr10:uidLastSave="{00000000-0000-0000-0000-000000000000}"/>
  <bookViews>
    <workbookView xWindow="-120" yWindow="-120" windowWidth="38640" windowHeight="21120" xr2:uid="{9DD6E340-DFE3-4B7E-9025-343BD89F474F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2" i="1" l="1"/>
  <c r="O62" i="1"/>
  <c r="P62" i="1"/>
  <c r="N62" i="1"/>
  <c r="B45" i="1"/>
  <c r="B3" i="1"/>
  <c r="B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34" i="1"/>
  <c r="M35" i="1"/>
  <c r="M36" i="1"/>
  <c r="M37" i="1"/>
  <c r="M38" i="1"/>
  <c r="M39" i="1"/>
  <c r="M40" i="1"/>
  <c r="M41" i="1"/>
  <c r="M42" i="1"/>
  <c r="M43" i="1"/>
  <c r="M44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34" i="1"/>
  <c r="L35" i="1"/>
  <c r="L36" i="1"/>
  <c r="L37" i="1"/>
  <c r="L38" i="1"/>
  <c r="L39" i="1"/>
  <c r="L40" i="1"/>
  <c r="L41" i="1"/>
  <c r="L42" i="1"/>
  <c r="L43" i="1"/>
  <c r="L44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34" i="1"/>
  <c r="K35" i="1"/>
  <c r="K36" i="1"/>
  <c r="K37" i="1"/>
  <c r="K38" i="1"/>
  <c r="K39" i="1"/>
  <c r="K40" i="1"/>
  <c r="K41" i="1"/>
  <c r="K42" i="1"/>
  <c r="K43" i="1"/>
  <c r="K44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34" i="1"/>
  <c r="J35" i="1"/>
  <c r="J36" i="1"/>
  <c r="J37" i="1"/>
  <c r="J38" i="1"/>
  <c r="J39" i="1"/>
  <c r="J40" i="1"/>
  <c r="J41" i="1"/>
  <c r="J42" i="1"/>
  <c r="J43" i="1"/>
  <c r="J44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4" i="1"/>
</calcChain>
</file>

<file path=xl/sharedStrings.xml><?xml version="1.0" encoding="utf-8"?>
<sst xmlns="http://schemas.openxmlformats.org/spreadsheetml/2006/main" count="83" uniqueCount="73">
  <si>
    <t>Distance</t>
  </si>
  <si>
    <t>Dataset</t>
  </si>
  <si>
    <t>c101.txt</t>
  </si>
  <si>
    <t>c102.txt</t>
  </si>
  <si>
    <t>c103.txt</t>
  </si>
  <si>
    <t>c104.txt</t>
  </si>
  <si>
    <t>c105.txt</t>
  </si>
  <si>
    <t>c106.txt</t>
  </si>
  <si>
    <t>c107.txt</t>
  </si>
  <si>
    <t>c108.txt</t>
  </si>
  <si>
    <t>c109.txt</t>
  </si>
  <si>
    <t>c201.txt</t>
  </si>
  <si>
    <t>c202.txt</t>
  </si>
  <si>
    <t>c203.txt</t>
  </si>
  <si>
    <t>c204.txt</t>
  </si>
  <si>
    <t>c205.txt</t>
  </si>
  <si>
    <t>c206.txt</t>
  </si>
  <si>
    <t>c207.txt</t>
  </si>
  <si>
    <t>c208.txt</t>
  </si>
  <si>
    <t>r101.txt</t>
  </si>
  <si>
    <t>r102.txt</t>
  </si>
  <si>
    <t>r103.txt</t>
  </si>
  <si>
    <t>r104.txt</t>
  </si>
  <si>
    <t>r105.txt</t>
  </si>
  <si>
    <t>r106.txt</t>
  </si>
  <si>
    <t>r107.txt</t>
  </si>
  <si>
    <t>r108.txt</t>
  </si>
  <si>
    <t>r109.txt</t>
  </si>
  <si>
    <t>r110.txt</t>
  </si>
  <si>
    <t>r111.txt</t>
  </si>
  <si>
    <t>r112.txt</t>
  </si>
  <si>
    <t>r201.txt</t>
  </si>
  <si>
    <t>r202.txt</t>
  </si>
  <si>
    <t>r203.txt</t>
  </si>
  <si>
    <t>r204.txt</t>
  </si>
  <si>
    <t>r205.txt</t>
  </si>
  <si>
    <t>r206.txt</t>
  </si>
  <si>
    <t>r207.txt</t>
  </si>
  <si>
    <t>r208.txt</t>
  </si>
  <si>
    <t>r209.txt</t>
  </si>
  <si>
    <t>r210.txt</t>
  </si>
  <si>
    <t>r211.txt</t>
  </si>
  <si>
    <t>rc101.txt</t>
  </si>
  <si>
    <t>rc102.txt</t>
  </si>
  <si>
    <t>rc103.txt</t>
  </si>
  <si>
    <t>rc104.txt</t>
  </si>
  <si>
    <t>rc105.txt</t>
  </si>
  <si>
    <t>rc106.txt</t>
  </si>
  <si>
    <t>rc107.txt</t>
  </si>
  <si>
    <t>rc108.txt</t>
  </si>
  <si>
    <t>rc201.txt</t>
  </si>
  <si>
    <t>rc202.txt</t>
  </si>
  <si>
    <t>rc203.txt</t>
  </si>
  <si>
    <t>rc204.txt</t>
  </si>
  <si>
    <t>rc205.txt</t>
  </si>
  <si>
    <t>rc206.txt</t>
  </si>
  <si>
    <t>rc207.txt</t>
  </si>
  <si>
    <t>rc208.txt</t>
  </si>
  <si>
    <t>NV</t>
    <phoneticPr fontId="1" type="noConversion"/>
  </si>
  <si>
    <t>baseline實際</t>
    <phoneticPr fontId="1" type="noConversion"/>
  </si>
  <si>
    <t>best known</t>
    <phoneticPr fontId="1" type="noConversion"/>
  </si>
  <si>
    <t>我的方法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</si>
  <si>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phoneticPr fontId="1" type="noConversion"/>
  </si>
  <si>
    <t>BKS Gap(%)</t>
    <phoneticPr fontId="1" type="noConversion"/>
  </si>
  <si>
    <r>
      <t>Baseline</t>
    </r>
    <r>
      <rPr>
        <b/>
        <sz val="10"/>
        <color theme="1"/>
        <rFont val="Microsoft JhengHei"/>
        <family val="2"/>
      </rPr>
      <t>敘述</t>
    </r>
    <r>
      <rPr>
        <b/>
        <sz val="10"/>
        <color theme="1"/>
        <rFont val="Arial"/>
        <family val="2"/>
      </rPr>
      <t xml:space="preserve"> Gap(%)</t>
    </r>
    <phoneticPr fontId="1" type="noConversion"/>
  </si>
  <si>
    <r>
      <t>C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</si>
  <si>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</si>
  <si>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</si>
  <si>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t>WIN</t>
    <phoneticPr fontId="1" type="noConversion"/>
  </si>
  <si>
    <t>TIE</t>
    <phoneticPr fontId="1" type="noConversion"/>
  </si>
  <si>
    <t>LOSE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</si>
  <si>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</t>
    </r>
    <phoneticPr fontId="1" type="noConversion"/>
  </si>
  <si>
    <t>Total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</si>
</sst>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theme="1"/>
      <name val="Arial"/>
      <family val="2"/>
    </font>
    <font>
      <sz val="11"/>
      <color theme="1"/>
      <name val="新細明體"/>
      <family val="2"/>
      <scheme val="minor"/>
    </font>
    <font>
      <sz val="10"/>
      <color rgb="FFC00000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微軟正黑體"/>
      <family val="2"/>
      <charset val="136"/>
    </font>
    <font>
      <b/>
      <sz val="10"/>
      <color theme="1"/>
      <name val="Microsoft JhengHei"/>
      <family val="2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b/>
      <sz val="10"/>
      <color theme="1"/>
      <name val="Arial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25">
    <xf numFmtId="0" fontId="0" fillId="0" borderId="0" xfId="0">
      <alignment vertical="center"/>
    </xf>
    <xf numFmtId="0" fontId="2" fillId="0" borderId="1" xfId="0" applyFont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wrapText="1"/>
    </xf>
    <xf numFmtId="0" fontId="2" fillId="4" borderId="1" xfId="0" applyFont="1" applyFill="1" applyBorder="1" applyAlignment="1">
      <alignment horizontal="right" wrapText="1"/>
    </xf>
    <xf numFmtId="0" fontId="10" fillId="0" borderId="1" xfId="0" applyFont="1" applyBorder="1" applyAlignment="1">
      <alignment horizontal="left" wrapText="1"/>
    </xf>
    <xf numFmtId="0" fontId="2" fillId="0" borderId="6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2" fillId="0" borderId="12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</cellXfs>
  <cellStyles count="2">
    <cellStyle name="一般" xfId="0" builtinId="0"/>
    <cellStyle name="一般 2" xfId="1" xr:uid="{6E9460ED-A07C-4357-B0FD-26F5286E71C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A5DF5-0F01-4635-876C-42C0D830CD54}">
  <dimension ref="A1:P62"/>
  <sheetViews>
    <sheetView tabSelected="1" zoomScale="145" zoomScaleNormal="145" workbookViewId="0">
      <pane xSplit="19" ySplit="5" topLeftCell="T6" activePane="bottomRight" state="frozen"/>
      <selection pane="topRight" activeCell="T1" sqref="T1"/>
      <selection pane="bottomLeft" activeCell="A6" sqref="A6"/>
      <selection pane="bottomRight" activeCell="G67" sqref="G67"/>
    </sheetView>
  </sheetViews>
  <sheetFormatPr defaultRowHeight="16.5" outlineLevelRow="1"/>
  <cols>
    <col min="1" max="1" width="11.875" customWidth="1"/>
    <col min="2" max="2" width="3.75" bestFit="1" customWidth="1"/>
    <col min="3" max="3" width="8.5" bestFit="1" customWidth="1"/>
    <col min="4" max="4" width="4.25" bestFit="1" customWidth="1"/>
    <col min="5" max="5" width="9.375" customWidth="1"/>
    <col min="6" max="6" width="3.75" bestFit="1" customWidth="1"/>
    <col min="7" max="7" width="7.875" bestFit="1" customWidth="1"/>
    <col min="8" max="8" width="3.75" bestFit="1" customWidth="1"/>
    <col min="10" max="10" width="8.125" bestFit="1" customWidth="1"/>
    <col min="12" max="12" width="8.125" bestFit="1" customWidth="1"/>
  </cols>
  <sheetData>
    <row r="1" spans="1:16" ht="17.25" customHeight="1" thickBot="1">
      <c r="A1" s="4"/>
      <c r="B1" s="18" t="s">
        <v>59</v>
      </c>
      <c r="C1" s="23"/>
      <c r="D1" s="18" t="s">
        <v>62</v>
      </c>
      <c r="E1" s="23"/>
      <c r="F1" s="24" t="s">
        <v>61</v>
      </c>
      <c r="G1" s="23"/>
      <c r="H1" s="18" t="s">
        <v>60</v>
      </c>
      <c r="I1" s="23"/>
      <c r="J1" s="18" t="s">
        <v>64</v>
      </c>
      <c r="K1" s="23"/>
      <c r="L1" s="18" t="s">
        <v>63</v>
      </c>
      <c r="M1" s="23"/>
      <c r="N1" s="18" t="s">
        <v>71</v>
      </c>
      <c r="O1" s="19"/>
      <c r="P1" s="19"/>
    </row>
    <row r="2" spans="1:16" ht="17.25" thickBot="1">
      <c r="A2" s="5" t="s">
        <v>1</v>
      </c>
      <c r="B2" s="1" t="s">
        <v>58</v>
      </c>
      <c r="C2" s="1" t="s">
        <v>0</v>
      </c>
      <c r="D2" s="1" t="s">
        <v>58</v>
      </c>
      <c r="E2" s="1" t="s">
        <v>0</v>
      </c>
      <c r="F2" s="1" t="s">
        <v>58</v>
      </c>
      <c r="G2" s="1" t="s">
        <v>0</v>
      </c>
      <c r="H2" s="1" t="s">
        <v>58</v>
      </c>
      <c r="I2" s="1" t="s">
        <v>0</v>
      </c>
      <c r="J2" s="1" t="s">
        <v>58</v>
      </c>
      <c r="K2" s="1" t="s">
        <v>0</v>
      </c>
      <c r="L2" s="1" t="s">
        <v>58</v>
      </c>
      <c r="M2" s="1" t="s">
        <v>0</v>
      </c>
      <c r="N2" s="1" t="s">
        <v>68</v>
      </c>
      <c r="O2" s="1" t="s">
        <v>69</v>
      </c>
      <c r="P2" s="1" t="s">
        <v>70</v>
      </c>
    </row>
    <row r="3" spans="1:16" ht="17.25" thickBot="1">
      <c r="A3" s="6" t="s">
        <v>65</v>
      </c>
      <c r="B3" s="20" t="str">
        <f>COUNTA(A4:A20) &amp; " 筆"</f>
        <v>17 筆</v>
      </c>
      <c r="C3" s="21"/>
      <c r="D3" s="21"/>
      <c r="E3" s="21"/>
      <c r="F3" s="21"/>
      <c r="G3" s="21"/>
      <c r="H3" s="21"/>
      <c r="I3" s="21"/>
      <c r="J3" s="21"/>
      <c r="K3" s="21"/>
      <c r="L3" s="21"/>
      <c r="M3" s="22"/>
      <c r="N3" s="1">
        <v>5</v>
      </c>
      <c r="O3" s="1">
        <v>12</v>
      </c>
      <c r="P3" s="1">
        <v>0</v>
      </c>
    </row>
    <row r="4" spans="1:16" ht="17.25" hidden="1" customHeight="1" outlineLevel="1" thickBot="1">
      <c r="A4" s="6" t="s">
        <v>2</v>
      </c>
      <c r="B4" s="1">
        <v>10</v>
      </c>
      <c r="C4" s="1">
        <v>833.24</v>
      </c>
      <c r="D4" s="1">
        <v>10</v>
      </c>
      <c r="E4" s="1">
        <v>828.94</v>
      </c>
      <c r="F4" s="7">
        <v>10</v>
      </c>
      <c r="G4" s="7">
        <v>828.94</v>
      </c>
      <c r="H4" s="1">
        <v>10</v>
      </c>
      <c r="I4" s="1">
        <v>828.94</v>
      </c>
      <c r="J4" s="7">
        <f t="shared" ref="J4:J20" si="0">ROUND(((F4-D4)/D4)*100,2)</f>
        <v>0</v>
      </c>
      <c r="K4" s="7">
        <f t="shared" ref="K4:K20" si="1">ROUND(((G4-E4)/E4)*100,2)</f>
        <v>0</v>
      </c>
      <c r="L4" s="1">
        <f t="shared" ref="L4:L20" si="2">ROUND(((F4-H4)/H4)*100,2)</f>
        <v>0</v>
      </c>
      <c r="M4" s="1">
        <f t="shared" ref="M4:M20" si="3">ROUND(((G4-I4)/I4)*100,2)</f>
        <v>0</v>
      </c>
      <c r="N4" s="9"/>
      <c r="O4" s="10"/>
      <c r="P4" s="11"/>
    </row>
    <row r="5" spans="1:16" ht="17.25" hidden="1" customHeight="1" outlineLevel="1" thickBot="1">
      <c r="A5" s="6" t="s">
        <v>3</v>
      </c>
      <c r="B5" s="1">
        <v>10</v>
      </c>
      <c r="C5" s="1">
        <v>939.03</v>
      </c>
      <c r="D5" s="1">
        <v>10</v>
      </c>
      <c r="E5" s="1">
        <v>828.94</v>
      </c>
      <c r="F5" s="7">
        <v>10</v>
      </c>
      <c r="G5" s="7">
        <v>828.94</v>
      </c>
      <c r="H5" s="1">
        <v>10</v>
      </c>
      <c r="I5" s="1">
        <v>828.94</v>
      </c>
      <c r="J5" s="7">
        <f t="shared" si="0"/>
        <v>0</v>
      </c>
      <c r="K5" s="7">
        <f t="shared" si="1"/>
        <v>0</v>
      </c>
      <c r="L5" s="1">
        <f t="shared" si="2"/>
        <v>0</v>
      </c>
      <c r="M5" s="1">
        <f t="shared" si="3"/>
        <v>0</v>
      </c>
      <c r="N5" s="12"/>
      <c r="O5" s="13"/>
      <c r="P5" s="14"/>
    </row>
    <row r="6" spans="1:16" ht="17.25" hidden="1" customHeight="1" outlineLevel="1" thickBot="1">
      <c r="A6" s="6" t="s">
        <v>4</v>
      </c>
      <c r="B6" s="1">
        <v>10</v>
      </c>
      <c r="C6" s="1">
        <v>869.97</v>
      </c>
      <c r="D6" s="1">
        <v>10</v>
      </c>
      <c r="E6" s="1">
        <v>830.77</v>
      </c>
      <c r="F6" s="2">
        <v>10</v>
      </c>
      <c r="G6" s="2">
        <v>828.06</v>
      </c>
      <c r="H6" s="1">
        <v>10</v>
      </c>
      <c r="I6" s="1">
        <v>828.06</v>
      </c>
      <c r="J6" s="2">
        <f t="shared" si="0"/>
        <v>0</v>
      </c>
      <c r="K6" s="2">
        <f t="shared" si="1"/>
        <v>-0.33</v>
      </c>
      <c r="L6" s="1">
        <f t="shared" si="2"/>
        <v>0</v>
      </c>
      <c r="M6" s="1">
        <f t="shared" si="3"/>
        <v>0</v>
      </c>
      <c r="N6" s="12"/>
      <c r="O6" s="13"/>
      <c r="P6" s="14"/>
    </row>
    <row r="7" spans="1:16" ht="17.25" hidden="1" customHeight="1" outlineLevel="1" thickBot="1">
      <c r="A7" s="6" t="s">
        <v>5</v>
      </c>
      <c r="B7" s="1">
        <v>10</v>
      </c>
      <c r="C7" s="1">
        <v>873.66</v>
      </c>
      <c r="D7" s="1">
        <v>10</v>
      </c>
      <c r="E7" s="1">
        <v>864.22</v>
      </c>
      <c r="F7" s="2">
        <v>10</v>
      </c>
      <c r="G7" s="2">
        <v>824.78</v>
      </c>
      <c r="H7" s="1">
        <v>10</v>
      </c>
      <c r="I7" s="1">
        <v>824.78</v>
      </c>
      <c r="J7" s="2">
        <f t="shared" si="0"/>
        <v>0</v>
      </c>
      <c r="K7" s="2">
        <f t="shared" si="1"/>
        <v>-4.5599999999999996</v>
      </c>
      <c r="L7" s="1">
        <f t="shared" si="2"/>
        <v>0</v>
      </c>
      <c r="M7" s="1">
        <f t="shared" si="3"/>
        <v>0</v>
      </c>
      <c r="N7" s="12"/>
      <c r="O7" s="13"/>
      <c r="P7" s="14"/>
    </row>
    <row r="8" spans="1:16" ht="17.25" hidden="1" customHeight="1" outlineLevel="1" thickBot="1">
      <c r="A8" s="6" t="s">
        <v>6</v>
      </c>
      <c r="B8" s="1">
        <v>10</v>
      </c>
      <c r="C8" s="1">
        <v>828.94</v>
      </c>
      <c r="D8" s="1">
        <v>10</v>
      </c>
      <c r="E8" s="1">
        <v>828.94</v>
      </c>
      <c r="F8" s="7">
        <v>10</v>
      </c>
      <c r="G8" s="7">
        <v>828.94</v>
      </c>
      <c r="H8" s="1">
        <v>10</v>
      </c>
      <c r="I8" s="1">
        <v>828.94</v>
      </c>
      <c r="J8" s="7">
        <f t="shared" si="0"/>
        <v>0</v>
      </c>
      <c r="K8" s="7">
        <f t="shared" si="1"/>
        <v>0</v>
      </c>
      <c r="L8" s="1">
        <f t="shared" si="2"/>
        <v>0</v>
      </c>
      <c r="M8" s="1">
        <f t="shared" si="3"/>
        <v>0</v>
      </c>
      <c r="N8" s="12"/>
      <c r="O8" s="13"/>
      <c r="P8" s="14"/>
    </row>
    <row r="9" spans="1:16" ht="17.25" hidden="1" customHeight="1" outlineLevel="1" thickBot="1">
      <c r="A9" s="6" t="s">
        <v>7</v>
      </c>
      <c r="B9" s="1">
        <v>10</v>
      </c>
      <c r="C9" s="1">
        <v>828.94</v>
      </c>
      <c r="D9" s="1">
        <v>10</v>
      </c>
      <c r="E9" s="1">
        <v>828.94</v>
      </c>
      <c r="F9" s="7">
        <v>10</v>
      </c>
      <c r="G9" s="7">
        <v>828.94</v>
      </c>
      <c r="H9" s="1">
        <v>10</v>
      </c>
      <c r="I9" s="1">
        <v>828.94</v>
      </c>
      <c r="J9" s="7">
        <f t="shared" si="0"/>
        <v>0</v>
      </c>
      <c r="K9" s="7">
        <f t="shared" si="1"/>
        <v>0</v>
      </c>
      <c r="L9" s="1">
        <f t="shared" si="2"/>
        <v>0</v>
      </c>
      <c r="M9" s="1">
        <f t="shared" si="3"/>
        <v>0</v>
      </c>
      <c r="N9" s="12"/>
      <c r="O9" s="13"/>
      <c r="P9" s="14"/>
    </row>
    <row r="10" spans="1:16" ht="17.25" hidden="1" customHeight="1" outlineLevel="1" thickBot="1">
      <c r="A10" s="6" t="s">
        <v>8</v>
      </c>
      <c r="B10" s="1">
        <v>10</v>
      </c>
      <c r="C10" s="1">
        <v>828.94</v>
      </c>
      <c r="D10" s="1">
        <v>10</v>
      </c>
      <c r="E10" s="1">
        <v>828.94</v>
      </c>
      <c r="F10" s="7">
        <v>10</v>
      </c>
      <c r="G10" s="7">
        <v>828.94</v>
      </c>
      <c r="H10" s="1">
        <v>10</v>
      </c>
      <c r="I10" s="1">
        <v>828.94</v>
      </c>
      <c r="J10" s="7">
        <f t="shared" si="0"/>
        <v>0</v>
      </c>
      <c r="K10" s="7">
        <f t="shared" si="1"/>
        <v>0</v>
      </c>
      <c r="L10" s="1">
        <f t="shared" si="2"/>
        <v>0</v>
      </c>
      <c r="M10" s="1">
        <f t="shared" si="3"/>
        <v>0</v>
      </c>
      <c r="N10" s="12"/>
      <c r="O10" s="13"/>
      <c r="P10" s="14"/>
    </row>
    <row r="11" spans="1:16" ht="17.25" hidden="1" customHeight="1" outlineLevel="1" thickBot="1">
      <c r="A11" s="6" t="s">
        <v>9</v>
      </c>
      <c r="B11" s="1">
        <v>10</v>
      </c>
      <c r="C11" s="1">
        <v>829.61</v>
      </c>
      <c r="D11" s="1">
        <v>10</v>
      </c>
      <c r="E11" s="1">
        <v>854.31</v>
      </c>
      <c r="F11" s="2">
        <v>10</v>
      </c>
      <c r="G11" s="2">
        <v>828.94</v>
      </c>
      <c r="H11" s="1">
        <v>10</v>
      </c>
      <c r="I11" s="1">
        <v>828.94</v>
      </c>
      <c r="J11" s="2">
        <f t="shared" si="0"/>
        <v>0</v>
      </c>
      <c r="K11" s="2">
        <f t="shared" si="1"/>
        <v>-2.97</v>
      </c>
      <c r="L11" s="1">
        <f t="shared" si="2"/>
        <v>0</v>
      </c>
      <c r="M11" s="1">
        <f t="shared" si="3"/>
        <v>0</v>
      </c>
      <c r="N11" s="12"/>
      <c r="O11" s="13"/>
      <c r="P11" s="14"/>
    </row>
    <row r="12" spans="1:16" ht="17.25" hidden="1" customHeight="1" outlineLevel="1" thickBot="1">
      <c r="A12" s="6" t="s">
        <v>10</v>
      </c>
      <c r="B12" s="1">
        <v>10</v>
      </c>
      <c r="C12" s="1">
        <v>902.19</v>
      </c>
      <c r="D12" s="1">
        <v>10</v>
      </c>
      <c r="E12" s="1">
        <v>854.78</v>
      </c>
      <c r="F12" s="2">
        <v>10</v>
      </c>
      <c r="G12" s="2">
        <v>828.94</v>
      </c>
      <c r="H12" s="1">
        <v>10</v>
      </c>
      <c r="I12" s="1">
        <v>828.94</v>
      </c>
      <c r="J12" s="2">
        <f t="shared" si="0"/>
        <v>0</v>
      </c>
      <c r="K12" s="2">
        <f t="shared" si="1"/>
        <v>-3.02</v>
      </c>
      <c r="L12" s="1">
        <f t="shared" si="2"/>
        <v>0</v>
      </c>
      <c r="M12" s="1">
        <f t="shared" si="3"/>
        <v>0</v>
      </c>
      <c r="N12" s="12"/>
      <c r="O12" s="13"/>
      <c r="P12" s="14"/>
    </row>
    <row r="13" spans="1:16" ht="17.25" hidden="1" customHeight="1" outlineLevel="1" thickBot="1">
      <c r="A13" s="6" t="s">
        <v>11</v>
      </c>
      <c r="B13" s="1">
        <v>3</v>
      </c>
      <c r="C13" s="1">
        <v>591.55999999999995</v>
      </c>
      <c r="D13" s="1">
        <v>3</v>
      </c>
      <c r="E13" s="1">
        <v>591.55999999999995</v>
      </c>
      <c r="F13" s="7">
        <v>3</v>
      </c>
      <c r="G13" s="7">
        <v>591.55999999999995</v>
      </c>
      <c r="H13" s="1">
        <v>3</v>
      </c>
      <c r="I13" s="1">
        <v>591.55999999999995</v>
      </c>
      <c r="J13" s="7">
        <f t="shared" si="0"/>
        <v>0</v>
      </c>
      <c r="K13" s="7">
        <f t="shared" si="1"/>
        <v>0</v>
      </c>
      <c r="L13" s="1">
        <f t="shared" si="2"/>
        <v>0</v>
      </c>
      <c r="M13" s="1">
        <f t="shared" si="3"/>
        <v>0</v>
      </c>
      <c r="N13" s="12"/>
      <c r="O13" s="13"/>
      <c r="P13" s="14"/>
    </row>
    <row r="14" spans="1:16" ht="17.25" hidden="1" customHeight="1" outlineLevel="1" thickBot="1">
      <c r="A14" s="6" t="s">
        <v>12</v>
      </c>
      <c r="B14" s="1">
        <v>3</v>
      </c>
      <c r="C14" s="1">
        <v>591.55999999999995</v>
      </c>
      <c r="D14" s="1">
        <v>3</v>
      </c>
      <c r="E14" s="1">
        <v>591.55999999999995</v>
      </c>
      <c r="F14" s="7">
        <v>3</v>
      </c>
      <c r="G14" s="7">
        <v>591.55999999999995</v>
      </c>
      <c r="H14" s="1">
        <v>3</v>
      </c>
      <c r="I14" s="1">
        <v>591.55999999999995</v>
      </c>
      <c r="J14" s="7">
        <f t="shared" si="0"/>
        <v>0</v>
      </c>
      <c r="K14" s="7">
        <f t="shared" si="1"/>
        <v>0</v>
      </c>
      <c r="L14" s="1">
        <f t="shared" si="2"/>
        <v>0</v>
      </c>
      <c r="M14" s="1">
        <f t="shared" si="3"/>
        <v>0</v>
      </c>
      <c r="N14" s="12"/>
      <c r="O14" s="13"/>
      <c r="P14" s="14"/>
    </row>
    <row r="15" spans="1:16" ht="17.25" hidden="1" customHeight="1" outlineLevel="1" thickBot="1">
      <c r="A15" s="6" t="s">
        <v>13</v>
      </c>
      <c r="B15" s="1">
        <v>3</v>
      </c>
      <c r="C15" s="1">
        <v>621.30999999999995</v>
      </c>
      <c r="D15" s="1">
        <v>3</v>
      </c>
      <c r="E15" s="1">
        <v>591.16999999999996</v>
      </c>
      <c r="F15" s="7">
        <v>3</v>
      </c>
      <c r="G15" s="7">
        <v>591.16999999999996</v>
      </c>
      <c r="H15" s="1">
        <v>3</v>
      </c>
      <c r="I15" s="1">
        <v>591.16999999999996</v>
      </c>
      <c r="J15" s="7">
        <f t="shared" si="0"/>
        <v>0</v>
      </c>
      <c r="K15" s="7">
        <f t="shared" si="1"/>
        <v>0</v>
      </c>
      <c r="L15" s="1">
        <f t="shared" si="2"/>
        <v>0</v>
      </c>
      <c r="M15" s="1">
        <f t="shared" si="3"/>
        <v>0</v>
      </c>
      <c r="N15" s="12"/>
      <c r="O15" s="13"/>
      <c r="P15" s="14"/>
    </row>
    <row r="16" spans="1:16" ht="17.25" hidden="1" customHeight="1" outlineLevel="1" thickBot="1">
      <c r="A16" s="6" t="s">
        <v>14</v>
      </c>
      <c r="B16" s="1">
        <v>3</v>
      </c>
      <c r="C16" s="1">
        <v>639.92999999999995</v>
      </c>
      <c r="D16" s="1">
        <v>3</v>
      </c>
      <c r="E16" s="1">
        <v>594.51</v>
      </c>
      <c r="F16" s="2">
        <v>3</v>
      </c>
      <c r="G16" s="2">
        <v>593.92999999999995</v>
      </c>
      <c r="H16" s="1">
        <v>3</v>
      </c>
      <c r="I16" s="1">
        <v>590.6</v>
      </c>
      <c r="J16" s="2">
        <f t="shared" si="0"/>
        <v>0</v>
      </c>
      <c r="K16" s="2">
        <f t="shared" si="1"/>
        <v>-0.1</v>
      </c>
      <c r="L16" s="1">
        <f t="shared" si="2"/>
        <v>0</v>
      </c>
      <c r="M16" s="1">
        <f t="shared" si="3"/>
        <v>0.56000000000000005</v>
      </c>
      <c r="N16" s="12"/>
      <c r="O16" s="13"/>
      <c r="P16" s="14"/>
    </row>
    <row r="17" spans="1:16" ht="17.25" hidden="1" customHeight="1" outlineLevel="1" thickBot="1">
      <c r="A17" s="6" t="s">
        <v>15</v>
      </c>
      <c r="B17" s="1">
        <v>4</v>
      </c>
      <c r="C17" s="1">
        <v>638.4</v>
      </c>
      <c r="D17" s="1">
        <v>3</v>
      </c>
      <c r="E17" s="1">
        <v>588.88</v>
      </c>
      <c r="F17" s="7">
        <v>3</v>
      </c>
      <c r="G17" s="7">
        <v>588.88</v>
      </c>
      <c r="H17" s="1">
        <v>3</v>
      </c>
      <c r="I17" s="1">
        <v>588.85</v>
      </c>
      <c r="J17" s="7">
        <f t="shared" si="0"/>
        <v>0</v>
      </c>
      <c r="K17" s="7">
        <f t="shared" si="1"/>
        <v>0</v>
      </c>
      <c r="L17" s="1">
        <f t="shared" si="2"/>
        <v>0</v>
      </c>
      <c r="M17" s="1">
        <f t="shared" si="3"/>
        <v>0.01</v>
      </c>
      <c r="N17" s="12"/>
      <c r="O17" s="13"/>
      <c r="P17" s="14"/>
    </row>
    <row r="18" spans="1:16" ht="17.25" hidden="1" customHeight="1" outlineLevel="1" thickBot="1">
      <c r="A18" s="6" t="s">
        <v>16</v>
      </c>
      <c r="B18" s="1">
        <v>3</v>
      </c>
      <c r="C18" s="1">
        <v>637.19000000000005</v>
      </c>
      <c r="D18" s="1">
        <v>3</v>
      </c>
      <c r="E18" s="1">
        <v>588.49</v>
      </c>
      <c r="F18" s="7">
        <v>3</v>
      </c>
      <c r="G18" s="7">
        <v>588.49</v>
      </c>
      <c r="H18" s="1">
        <v>3</v>
      </c>
      <c r="I18" s="1">
        <v>588.49</v>
      </c>
      <c r="J18" s="7">
        <f t="shared" si="0"/>
        <v>0</v>
      </c>
      <c r="K18" s="7">
        <f t="shared" si="1"/>
        <v>0</v>
      </c>
      <c r="L18" s="1">
        <f t="shared" si="2"/>
        <v>0</v>
      </c>
      <c r="M18" s="1">
        <f t="shared" si="3"/>
        <v>0</v>
      </c>
      <c r="N18" s="12"/>
      <c r="O18" s="13"/>
      <c r="P18" s="14"/>
    </row>
    <row r="19" spans="1:16" ht="17.25" hidden="1" customHeight="1" outlineLevel="1" thickBot="1">
      <c r="A19" s="6" t="s">
        <v>17</v>
      </c>
      <c r="B19" s="1">
        <v>3</v>
      </c>
      <c r="C19" s="1">
        <v>732.1</v>
      </c>
      <c r="D19" s="1">
        <v>3</v>
      </c>
      <c r="E19" s="1">
        <v>588.29</v>
      </c>
      <c r="F19" s="7">
        <v>3</v>
      </c>
      <c r="G19" s="7">
        <v>588.29</v>
      </c>
      <c r="H19" s="1">
        <v>3</v>
      </c>
      <c r="I19" s="1">
        <v>588.29</v>
      </c>
      <c r="J19" s="7">
        <f t="shared" si="0"/>
        <v>0</v>
      </c>
      <c r="K19" s="7">
        <f t="shared" si="1"/>
        <v>0</v>
      </c>
      <c r="L19" s="1">
        <f t="shared" si="2"/>
        <v>0</v>
      </c>
      <c r="M19" s="1">
        <f t="shared" si="3"/>
        <v>0</v>
      </c>
      <c r="N19" s="12"/>
      <c r="O19" s="13"/>
      <c r="P19" s="14"/>
    </row>
    <row r="20" spans="1:16" ht="17.25" hidden="1" customHeight="1" outlineLevel="1" thickBot="1">
      <c r="A20" s="6" t="s">
        <v>18</v>
      </c>
      <c r="B20" s="1">
        <v>3</v>
      </c>
      <c r="C20" s="1">
        <v>606.83000000000004</v>
      </c>
      <c r="D20" s="1">
        <v>3</v>
      </c>
      <c r="E20" s="1">
        <v>588.32000000000005</v>
      </c>
      <c r="F20" s="7">
        <v>3</v>
      </c>
      <c r="G20" s="7">
        <v>588.32000000000005</v>
      </c>
      <c r="H20" s="1">
        <v>3</v>
      </c>
      <c r="I20" s="1">
        <v>588.32000000000005</v>
      </c>
      <c r="J20" s="7">
        <f t="shared" si="0"/>
        <v>0</v>
      </c>
      <c r="K20" s="7">
        <f t="shared" si="1"/>
        <v>0</v>
      </c>
      <c r="L20" s="1">
        <f t="shared" si="2"/>
        <v>0</v>
      </c>
      <c r="M20" s="1">
        <f t="shared" si="3"/>
        <v>0</v>
      </c>
      <c r="N20" s="15"/>
      <c r="O20" s="16"/>
      <c r="P20" s="17"/>
    </row>
    <row r="21" spans="1:16" ht="17.25" collapsed="1" thickBot="1">
      <c r="A21" s="8" t="s">
        <v>66</v>
      </c>
      <c r="B21" s="20" t="str">
        <f>COUNTA(A22:A44) &amp; " 筆"</f>
        <v>23 筆</v>
      </c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2"/>
      <c r="N21" s="1">
        <v>11</v>
      </c>
      <c r="O21" s="1">
        <v>0</v>
      </c>
      <c r="P21" s="1">
        <v>12</v>
      </c>
    </row>
    <row r="22" spans="1:16" ht="17.25" hidden="1" customHeight="1" outlineLevel="1" thickBot="1">
      <c r="A22" s="6" t="s">
        <v>19</v>
      </c>
      <c r="B22" s="1">
        <v>20</v>
      </c>
      <c r="C22" s="1">
        <v>1754.01</v>
      </c>
      <c r="D22" s="1">
        <v>19</v>
      </c>
      <c r="E22" s="1">
        <v>1656.55</v>
      </c>
      <c r="F22" s="3">
        <v>20</v>
      </c>
      <c r="G22" s="3">
        <v>1645.01</v>
      </c>
      <c r="H22" s="1">
        <v>19</v>
      </c>
      <c r="I22" s="1">
        <v>1650.8</v>
      </c>
      <c r="J22" s="3">
        <f t="shared" ref="J22:J44" si="4">ROUND(((F22-D22)/D22)*100,2)</f>
        <v>5.26</v>
      </c>
      <c r="K22" s="3">
        <f t="shared" ref="K22:K44" si="5">ROUND(((G22-E22)/E22)*100,2)</f>
        <v>-0.7</v>
      </c>
      <c r="L22" s="1">
        <f t="shared" ref="L22:L44" si="6">ROUND(((F22-H22)/H22)*100,2)</f>
        <v>5.26</v>
      </c>
      <c r="M22" s="1">
        <f t="shared" ref="M22:M44" si="7">ROUND(((G22-I22)/I22)*100,2)</f>
        <v>-0.35</v>
      </c>
      <c r="N22" s="9"/>
      <c r="O22" s="10"/>
      <c r="P22" s="11"/>
    </row>
    <row r="23" spans="1:16" ht="17.25" hidden="1" customHeight="1" outlineLevel="1" thickBot="1">
      <c r="A23" s="6" t="s">
        <v>20</v>
      </c>
      <c r="B23" s="1">
        <v>18</v>
      </c>
      <c r="C23" s="1">
        <v>1676.48</v>
      </c>
      <c r="D23" s="1">
        <v>18</v>
      </c>
      <c r="E23" s="1">
        <v>1476.85</v>
      </c>
      <c r="F23" s="2">
        <v>18</v>
      </c>
      <c r="G23" s="2">
        <v>1466.25</v>
      </c>
      <c r="H23" s="1">
        <v>17</v>
      </c>
      <c r="I23" s="1">
        <v>1486.12</v>
      </c>
      <c r="J23" s="2">
        <f t="shared" si="4"/>
        <v>0</v>
      </c>
      <c r="K23" s="2">
        <f t="shared" si="5"/>
        <v>-0.72</v>
      </c>
      <c r="L23" s="1">
        <f t="shared" si="6"/>
        <v>5.88</v>
      </c>
      <c r="M23" s="1">
        <f t="shared" si="7"/>
        <v>-1.34</v>
      </c>
      <c r="N23" s="12"/>
      <c r="O23" s="13"/>
      <c r="P23" s="14"/>
    </row>
    <row r="24" spans="1:16" ht="17.25" hidden="1" customHeight="1" outlineLevel="1" thickBot="1">
      <c r="A24" s="6" t="s">
        <v>21</v>
      </c>
      <c r="B24" s="1">
        <v>15</v>
      </c>
      <c r="C24" s="1">
        <v>1463.66</v>
      </c>
      <c r="D24" s="1">
        <v>14</v>
      </c>
      <c r="E24" s="1">
        <v>1230.07</v>
      </c>
      <c r="F24" s="2">
        <v>14</v>
      </c>
      <c r="G24" s="2">
        <v>1201.52</v>
      </c>
      <c r="H24" s="1">
        <v>13</v>
      </c>
      <c r="I24" s="1">
        <v>1292.68</v>
      </c>
      <c r="J24" s="2">
        <f t="shared" si="4"/>
        <v>0</v>
      </c>
      <c r="K24" s="2">
        <f t="shared" si="5"/>
        <v>-2.3199999999999998</v>
      </c>
      <c r="L24" s="1">
        <f t="shared" si="6"/>
        <v>7.69</v>
      </c>
      <c r="M24" s="1">
        <f t="shared" si="7"/>
        <v>-7.05</v>
      </c>
      <c r="N24" s="12"/>
      <c r="O24" s="13"/>
      <c r="P24" s="14"/>
    </row>
    <row r="25" spans="1:16" ht="17.25" hidden="1" customHeight="1" outlineLevel="1" thickBot="1">
      <c r="A25" s="6" t="s">
        <v>22</v>
      </c>
      <c r="B25" s="1">
        <v>12</v>
      </c>
      <c r="C25" s="1">
        <v>1182.78</v>
      </c>
      <c r="D25" s="1">
        <v>10</v>
      </c>
      <c r="E25" s="1">
        <v>1010.55</v>
      </c>
      <c r="F25" s="2">
        <v>10</v>
      </c>
      <c r="G25" s="2">
        <v>991.94</v>
      </c>
      <c r="H25" s="1">
        <v>9</v>
      </c>
      <c r="I25" s="1">
        <v>1007.31</v>
      </c>
      <c r="J25" s="2">
        <f t="shared" si="4"/>
        <v>0</v>
      </c>
      <c r="K25" s="2">
        <f t="shared" si="5"/>
        <v>-1.84</v>
      </c>
      <c r="L25" s="1">
        <f t="shared" si="6"/>
        <v>11.11</v>
      </c>
      <c r="M25" s="1">
        <f t="shared" si="7"/>
        <v>-1.53</v>
      </c>
      <c r="N25" s="12"/>
      <c r="O25" s="13"/>
      <c r="P25" s="14"/>
    </row>
    <row r="26" spans="1:16" ht="17.25" hidden="1" customHeight="1" outlineLevel="1" thickBot="1">
      <c r="A26" s="6" t="s">
        <v>23</v>
      </c>
      <c r="B26" s="1">
        <v>15</v>
      </c>
      <c r="C26" s="1">
        <v>1567.15</v>
      </c>
      <c r="D26" s="1">
        <v>14</v>
      </c>
      <c r="E26" s="1">
        <v>1395.68</v>
      </c>
      <c r="F26" s="3">
        <v>15</v>
      </c>
      <c r="G26" s="3">
        <v>1389.17</v>
      </c>
      <c r="H26" s="1">
        <v>14</v>
      </c>
      <c r="I26" s="1">
        <v>1377.11</v>
      </c>
      <c r="J26" s="3">
        <f t="shared" si="4"/>
        <v>7.14</v>
      </c>
      <c r="K26" s="3">
        <f t="shared" si="5"/>
        <v>-0.47</v>
      </c>
      <c r="L26" s="1">
        <f t="shared" si="6"/>
        <v>7.14</v>
      </c>
      <c r="M26" s="1">
        <f t="shared" si="7"/>
        <v>0.88</v>
      </c>
      <c r="N26" s="12"/>
      <c r="O26" s="13"/>
      <c r="P26" s="14"/>
    </row>
    <row r="27" spans="1:16" ht="17.25" hidden="1" customHeight="1" outlineLevel="1" thickBot="1">
      <c r="A27" s="6" t="s">
        <v>24</v>
      </c>
      <c r="B27" s="1">
        <v>14</v>
      </c>
      <c r="C27" s="1">
        <v>1405.56</v>
      </c>
      <c r="D27" s="1">
        <v>13</v>
      </c>
      <c r="E27" s="1">
        <v>1261.6099999999999</v>
      </c>
      <c r="F27" s="3">
        <v>13</v>
      </c>
      <c r="G27" s="3">
        <v>1278.1600000000001</v>
      </c>
      <c r="H27" s="1">
        <v>12</v>
      </c>
      <c r="I27" s="1">
        <v>1252.03</v>
      </c>
      <c r="J27" s="3">
        <f t="shared" si="4"/>
        <v>0</v>
      </c>
      <c r="K27" s="3">
        <f t="shared" si="5"/>
        <v>1.31</v>
      </c>
      <c r="L27" s="1">
        <f t="shared" si="6"/>
        <v>8.33</v>
      </c>
      <c r="M27" s="1">
        <f t="shared" si="7"/>
        <v>2.09</v>
      </c>
      <c r="N27" s="12"/>
      <c r="O27" s="13"/>
      <c r="P27" s="14"/>
    </row>
    <row r="28" spans="1:16" ht="17.25" hidden="1" customHeight="1" outlineLevel="1" thickBot="1">
      <c r="A28" s="6" t="s">
        <v>25</v>
      </c>
      <c r="B28" s="1">
        <v>12</v>
      </c>
      <c r="C28" s="1">
        <v>1260.24</v>
      </c>
      <c r="D28" s="1">
        <v>11</v>
      </c>
      <c r="E28" s="1">
        <v>1103.77</v>
      </c>
      <c r="F28" s="2">
        <v>11</v>
      </c>
      <c r="G28" s="2">
        <v>1098.19</v>
      </c>
      <c r="H28" s="1">
        <v>10</v>
      </c>
      <c r="I28" s="1">
        <v>1104.6600000000001</v>
      </c>
      <c r="J28" s="2">
        <f t="shared" si="4"/>
        <v>0</v>
      </c>
      <c r="K28" s="2">
        <f t="shared" si="5"/>
        <v>-0.51</v>
      </c>
      <c r="L28" s="1">
        <f t="shared" si="6"/>
        <v>10</v>
      </c>
      <c r="M28" s="1">
        <f t="shared" si="7"/>
        <v>-0.59</v>
      </c>
      <c r="N28" s="12"/>
      <c r="O28" s="13"/>
      <c r="P28" s="14"/>
    </row>
    <row r="29" spans="1:16" ht="17.25" hidden="1" customHeight="1" outlineLevel="1" thickBot="1">
      <c r="A29" s="6" t="s">
        <v>26</v>
      </c>
      <c r="B29" s="1">
        <v>11</v>
      </c>
      <c r="C29" s="1">
        <v>1126.8800000000001</v>
      </c>
      <c r="D29" s="1">
        <v>10</v>
      </c>
      <c r="E29" s="1">
        <v>966.99</v>
      </c>
      <c r="F29" s="2">
        <v>10</v>
      </c>
      <c r="G29" s="2">
        <v>953.55</v>
      </c>
      <c r="H29" s="1">
        <v>9</v>
      </c>
      <c r="I29" s="1">
        <v>960.88</v>
      </c>
      <c r="J29" s="2">
        <f t="shared" si="4"/>
        <v>0</v>
      </c>
      <c r="K29" s="2">
        <f t="shared" si="5"/>
        <v>-1.39</v>
      </c>
      <c r="L29" s="1">
        <f t="shared" si="6"/>
        <v>11.11</v>
      </c>
      <c r="M29" s="1">
        <f t="shared" si="7"/>
        <v>-0.76</v>
      </c>
      <c r="N29" s="12"/>
      <c r="O29" s="13"/>
      <c r="P29" s="14"/>
    </row>
    <row r="30" spans="1:16" ht="17.25" hidden="1" customHeight="1" outlineLevel="1" thickBot="1">
      <c r="A30" s="6" t="s">
        <v>27</v>
      </c>
      <c r="B30" s="1">
        <v>13</v>
      </c>
      <c r="C30" s="1">
        <v>1386.28</v>
      </c>
      <c r="D30" s="1">
        <v>12</v>
      </c>
      <c r="E30" s="1">
        <v>1200.2</v>
      </c>
      <c r="F30" s="3">
        <v>13</v>
      </c>
      <c r="G30" s="3">
        <v>1179.8</v>
      </c>
      <c r="H30" s="1">
        <v>11</v>
      </c>
      <c r="I30" s="1">
        <v>1194.73</v>
      </c>
      <c r="J30" s="3">
        <f t="shared" si="4"/>
        <v>8.33</v>
      </c>
      <c r="K30" s="3">
        <f t="shared" si="5"/>
        <v>-1.7</v>
      </c>
      <c r="L30" s="1">
        <f t="shared" si="6"/>
        <v>18.18</v>
      </c>
      <c r="M30" s="1">
        <f t="shared" si="7"/>
        <v>-1.25</v>
      </c>
      <c r="N30" s="12"/>
      <c r="O30" s="13"/>
      <c r="P30" s="14"/>
    </row>
    <row r="31" spans="1:16" ht="17.25" hidden="1" customHeight="1" outlineLevel="1" thickBot="1">
      <c r="A31" s="6" t="s">
        <v>28</v>
      </c>
      <c r="B31" s="1">
        <v>13</v>
      </c>
      <c r="C31" s="1">
        <v>1289.46</v>
      </c>
      <c r="D31" s="1">
        <v>11</v>
      </c>
      <c r="E31" s="1">
        <v>1127.28</v>
      </c>
      <c r="F31" s="3">
        <v>12</v>
      </c>
      <c r="G31" s="3">
        <v>1114.3</v>
      </c>
      <c r="H31" s="1">
        <v>10</v>
      </c>
      <c r="I31" s="1">
        <v>1118.8399999999999</v>
      </c>
      <c r="J31" s="3">
        <f t="shared" si="4"/>
        <v>9.09</v>
      </c>
      <c r="K31" s="3">
        <f t="shared" si="5"/>
        <v>-1.1499999999999999</v>
      </c>
      <c r="L31" s="1">
        <f t="shared" si="6"/>
        <v>20</v>
      </c>
      <c r="M31" s="1">
        <f t="shared" si="7"/>
        <v>-0.41</v>
      </c>
      <c r="N31" s="12"/>
      <c r="O31" s="13"/>
      <c r="P31" s="14"/>
    </row>
    <row r="32" spans="1:16" ht="17.25" hidden="1" customHeight="1" outlineLevel="1" thickBot="1">
      <c r="A32" s="6" t="s">
        <v>29</v>
      </c>
      <c r="B32" s="1">
        <v>13</v>
      </c>
      <c r="C32" s="1">
        <v>1309.6400000000001</v>
      </c>
      <c r="D32" s="1">
        <v>11</v>
      </c>
      <c r="E32" s="1">
        <v>1096.3800000000001</v>
      </c>
      <c r="F32" s="3">
        <v>12</v>
      </c>
      <c r="G32" s="3">
        <v>1090.1600000000001</v>
      </c>
      <c r="H32" s="1">
        <v>10</v>
      </c>
      <c r="I32" s="1">
        <v>1096.72</v>
      </c>
      <c r="J32" s="3">
        <f t="shared" si="4"/>
        <v>9.09</v>
      </c>
      <c r="K32" s="3">
        <f t="shared" si="5"/>
        <v>-0.56999999999999995</v>
      </c>
      <c r="L32" s="1">
        <f t="shared" si="6"/>
        <v>20</v>
      </c>
      <c r="M32" s="1">
        <f t="shared" si="7"/>
        <v>-0.6</v>
      </c>
      <c r="N32" s="12"/>
      <c r="O32" s="13"/>
      <c r="P32" s="14"/>
    </row>
    <row r="33" spans="1:16" ht="17.25" hidden="1" customHeight="1" outlineLevel="1" thickBot="1">
      <c r="A33" s="6" t="s">
        <v>30</v>
      </c>
      <c r="B33" s="1">
        <v>11</v>
      </c>
      <c r="C33" s="1">
        <v>1181.53</v>
      </c>
      <c r="D33" s="1">
        <v>9</v>
      </c>
      <c r="E33" s="1">
        <v>982.14</v>
      </c>
      <c r="F33" s="3">
        <v>10</v>
      </c>
      <c r="G33" s="3">
        <v>984.72</v>
      </c>
      <c r="H33" s="1">
        <v>9</v>
      </c>
      <c r="I33" s="1">
        <v>982.14</v>
      </c>
      <c r="J33" s="3">
        <f t="shared" si="4"/>
        <v>11.11</v>
      </c>
      <c r="K33" s="3">
        <f t="shared" si="5"/>
        <v>0.26</v>
      </c>
      <c r="L33" s="1">
        <f t="shared" si="6"/>
        <v>11.11</v>
      </c>
      <c r="M33" s="1">
        <f t="shared" si="7"/>
        <v>0.26</v>
      </c>
      <c r="N33" s="12"/>
      <c r="O33" s="13"/>
      <c r="P33" s="14"/>
    </row>
    <row r="34" spans="1:16" ht="17.25" hidden="1" customHeight="1" outlineLevel="1" thickBot="1">
      <c r="A34" s="6" t="s">
        <v>31</v>
      </c>
      <c r="B34" s="1">
        <v>4</v>
      </c>
      <c r="C34" s="1">
        <v>1687.77</v>
      </c>
      <c r="D34" s="1">
        <v>4</v>
      </c>
      <c r="E34" s="1">
        <v>1442.28</v>
      </c>
      <c r="F34" s="3">
        <v>6</v>
      </c>
      <c r="G34" s="3">
        <v>1234.68</v>
      </c>
      <c r="H34" s="1">
        <v>4</v>
      </c>
      <c r="I34" s="1">
        <v>1252.3699999999999</v>
      </c>
      <c r="J34" s="3">
        <f t="shared" si="4"/>
        <v>50</v>
      </c>
      <c r="K34" s="3">
        <f t="shared" si="5"/>
        <v>-14.39</v>
      </c>
      <c r="L34" s="1">
        <f t="shared" si="6"/>
        <v>50</v>
      </c>
      <c r="M34" s="1">
        <f t="shared" si="7"/>
        <v>-1.41</v>
      </c>
      <c r="N34" s="12"/>
      <c r="O34" s="13"/>
      <c r="P34" s="14"/>
    </row>
    <row r="35" spans="1:16" ht="17.25" hidden="1" customHeight="1" outlineLevel="1" thickBot="1">
      <c r="A35" s="6" t="s">
        <v>32</v>
      </c>
      <c r="B35" s="1">
        <v>4</v>
      </c>
      <c r="C35" s="1">
        <v>1513.5</v>
      </c>
      <c r="D35" s="1">
        <v>4</v>
      </c>
      <c r="E35" s="1">
        <v>1212.49</v>
      </c>
      <c r="F35" s="3">
        <v>6</v>
      </c>
      <c r="G35" s="3">
        <v>1103.74</v>
      </c>
      <c r="H35" s="1">
        <v>3</v>
      </c>
      <c r="I35" s="1">
        <v>1191.7</v>
      </c>
      <c r="J35" s="3">
        <f t="shared" si="4"/>
        <v>50</v>
      </c>
      <c r="K35" s="3">
        <f t="shared" si="5"/>
        <v>-8.9700000000000006</v>
      </c>
      <c r="L35" s="1">
        <f t="shared" si="6"/>
        <v>100</v>
      </c>
      <c r="M35" s="1">
        <f t="shared" si="7"/>
        <v>-7.38</v>
      </c>
      <c r="N35" s="12"/>
      <c r="O35" s="13"/>
      <c r="P35" s="14"/>
    </row>
    <row r="36" spans="1:16" ht="17.25" hidden="1" customHeight="1" outlineLevel="1" thickBot="1">
      <c r="A36" s="6" t="s">
        <v>33</v>
      </c>
      <c r="B36" s="1">
        <v>3</v>
      </c>
      <c r="C36" s="1">
        <v>1425.91</v>
      </c>
      <c r="D36" s="1">
        <v>3</v>
      </c>
      <c r="E36" s="1">
        <v>1197.67</v>
      </c>
      <c r="F36" s="3">
        <v>5</v>
      </c>
      <c r="G36" s="3">
        <v>964.76</v>
      </c>
      <c r="H36" s="1">
        <v>3</v>
      </c>
      <c r="I36" s="1">
        <v>939.5</v>
      </c>
      <c r="J36" s="3">
        <f t="shared" si="4"/>
        <v>66.67</v>
      </c>
      <c r="K36" s="3">
        <f t="shared" si="5"/>
        <v>-19.45</v>
      </c>
      <c r="L36" s="1">
        <f t="shared" si="6"/>
        <v>66.67</v>
      </c>
      <c r="M36" s="1">
        <f t="shared" si="7"/>
        <v>2.69</v>
      </c>
      <c r="N36" s="12"/>
      <c r="O36" s="13"/>
      <c r="P36" s="14"/>
    </row>
    <row r="37" spans="1:16" ht="17.25" hidden="1" customHeight="1" outlineLevel="1" thickBot="1">
      <c r="A37" s="6" t="s">
        <v>34</v>
      </c>
      <c r="B37" s="1">
        <v>3</v>
      </c>
      <c r="C37" s="1">
        <v>1122.0899999999999</v>
      </c>
      <c r="D37" s="1">
        <v>10</v>
      </c>
      <c r="E37" s="1">
        <v>854.31</v>
      </c>
      <c r="F37" s="2">
        <v>4</v>
      </c>
      <c r="G37" s="2">
        <v>766.23</v>
      </c>
      <c r="H37" s="1">
        <v>2</v>
      </c>
      <c r="I37" s="1">
        <v>825.52</v>
      </c>
      <c r="J37" s="2">
        <f t="shared" si="4"/>
        <v>-60</v>
      </c>
      <c r="K37" s="2">
        <f t="shared" si="5"/>
        <v>-10.31</v>
      </c>
      <c r="L37" s="1">
        <f t="shared" si="6"/>
        <v>100</v>
      </c>
      <c r="M37" s="1">
        <f t="shared" si="7"/>
        <v>-7.18</v>
      </c>
      <c r="N37" s="12"/>
      <c r="O37" s="13"/>
      <c r="P37" s="14"/>
    </row>
    <row r="38" spans="1:16" ht="17.25" hidden="1" customHeight="1" outlineLevel="1" thickBot="1">
      <c r="A38" s="6" t="s">
        <v>35</v>
      </c>
      <c r="B38" s="1">
        <v>4</v>
      </c>
      <c r="C38" s="1">
        <v>1454.03</v>
      </c>
      <c r="D38" s="1">
        <v>4</v>
      </c>
      <c r="E38" s="1">
        <v>1337.65</v>
      </c>
      <c r="F38" s="2">
        <v>4</v>
      </c>
      <c r="G38" s="2">
        <v>1078.75</v>
      </c>
      <c r="H38" s="1">
        <v>3</v>
      </c>
      <c r="I38" s="1">
        <v>994.43</v>
      </c>
      <c r="J38" s="2">
        <f t="shared" si="4"/>
        <v>0</v>
      </c>
      <c r="K38" s="2">
        <f t="shared" si="5"/>
        <v>-19.350000000000001</v>
      </c>
      <c r="L38" s="1">
        <f t="shared" si="6"/>
        <v>33.33</v>
      </c>
      <c r="M38" s="1">
        <f t="shared" si="7"/>
        <v>8.48</v>
      </c>
      <c r="N38" s="12"/>
      <c r="O38" s="13"/>
      <c r="P38" s="14"/>
    </row>
    <row r="39" spans="1:16" ht="17.25" hidden="1" customHeight="1" outlineLevel="1" thickBot="1">
      <c r="A39" s="6" t="s">
        <v>36</v>
      </c>
      <c r="B39" s="1">
        <v>3</v>
      </c>
      <c r="C39" s="1">
        <v>1268.71</v>
      </c>
      <c r="D39" s="1">
        <v>4</v>
      </c>
      <c r="E39" s="1">
        <v>1114.76</v>
      </c>
      <c r="F39" s="2">
        <v>3</v>
      </c>
      <c r="G39" s="2">
        <v>1005.14</v>
      </c>
      <c r="H39" s="1">
        <v>3</v>
      </c>
      <c r="I39" s="1">
        <v>906.14</v>
      </c>
      <c r="J39" s="2">
        <f t="shared" si="4"/>
        <v>-25</v>
      </c>
      <c r="K39" s="2">
        <f t="shared" si="5"/>
        <v>-9.83</v>
      </c>
      <c r="L39" s="1">
        <f t="shared" si="6"/>
        <v>0</v>
      </c>
      <c r="M39" s="1">
        <f t="shared" si="7"/>
        <v>10.93</v>
      </c>
      <c r="N39" s="12"/>
      <c r="O39" s="13"/>
      <c r="P39" s="14"/>
    </row>
    <row r="40" spans="1:16" ht="17.25" hidden="1" customHeight="1" outlineLevel="1" thickBot="1">
      <c r="A40" s="6" t="s">
        <v>37</v>
      </c>
      <c r="B40" s="1">
        <v>3</v>
      </c>
      <c r="C40" s="1">
        <v>1207.1500000000001</v>
      </c>
      <c r="D40" s="1">
        <v>4</v>
      </c>
      <c r="E40" s="1">
        <v>1055.71</v>
      </c>
      <c r="F40" s="2">
        <v>4</v>
      </c>
      <c r="G40" s="2">
        <v>865.63</v>
      </c>
      <c r="H40" s="1">
        <v>2</v>
      </c>
      <c r="I40" s="1">
        <v>890.61</v>
      </c>
      <c r="J40" s="2">
        <f t="shared" si="4"/>
        <v>0</v>
      </c>
      <c r="K40" s="2">
        <f t="shared" si="5"/>
        <v>-18</v>
      </c>
      <c r="L40" s="1">
        <f t="shared" si="6"/>
        <v>100</v>
      </c>
      <c r="M40" s="1">
        <f t="shared" si="7"/>
        <v>-2.8</v>
      </c>
      <c r="N40" s="12"/>
      <c r="O40" s="13"/>
      <c r="P40" s="14"/>
    </row>
    <row r="41" spans="1:16" ht="17.25" hidden="1" customHeight="1" outlineLevel="1" thickBot="1">
      <c r="A41" s="6" t="s">
        <v>38</v>
      </c>
      <c r="B41" s="1">
        <v>3</v>
      </c>
      <c r="C41" s="1">
        <v>970.12</v>
      </c>
      <c r="D41" s="1">
        <v>3</v>
      </c>
      <c r="E41" s="1">
        <v>860.53</v>
      </c>
      <c r="F41" s="2">
        <v>3</v>
      </c>
      <c r="G41" s="2">
        <v>727.64</v>
      </c>
      <c r="H41" s="1">
        <v>2</v>
      </c>
      <c r="I41" s="1">
        <v>726.82</v>
      </c>
      <c r="J41" s="2">
        <f t="shared" si="4"/>
        <v>0</v>
      </c>
      <c r="K41" s="2">
        <f t="shared" si="5"/>
        <v>-15.44</v>
      </c>
      <c r="L41" s="1">
        <f t="shared" si="6"/>
        <v>50</v>
      </c>
      <c r="M41" s="1">
        <f t="shared" si="7"/>
        <v>0.11</v>
      </c>
      <c r="N41" s="12"/>
      <c r="O41" s="13"/>
      <c r="P41" s="14"/>
    </row>
    <row r="42" spans="1:16" ht="17.25" hidden="1" customHeight="1" outlineLevel="1" thickBot="1">
      <c r="A42" s="6" t="s">
        <v>39</v>
      </c>
      <c r="B42" s="1">
        <v>3</v>
      </c>
      <c r="C42" s="1">
        <v>1341.3</v>
      </c>
      <c r="D42" s="1">
        <v>2</v>
      </c>
      <c r="E42" s="1">
        <v>895.46749999999997</v>
      </c>
      <c r="F42" s="3">
        <v>4</v>
      </c>
      <c r="G42" s="3">
        <v>912.61</v>
      </c>
      <c r="H42" s="1">
        <v>3</v>
      </c>
      <c r="I42" s="1">
        <v>909.16</v>
      </c>
      <c r="J42" s="3">
        <f t="shared" si="4"/>
        <v>100</v>
      </c>
      <c r="K42" s="3">
        <f t="shared" si="5"/>
        <v>1.91</v>
      </c>
      <c r="L42" s="1">
        <f t="shared" si="6"/>
        <v>33.33</v>
      </c>
      <c r="M42" s="1">
        <f t="shared" si="7"/>
        <v>0.38</v>
      </c>
      <c r="N42" s="12"/>
      <c r="O42" s="13"/>
      <c r="P42" s="14"/>
    </row>
    <row r="43" spans="1:16" ht="17.25" hidden="1" customHeight="1" outlineLevel="1" thickBot="1">
      <c r="A43" s="6" t="s">
        <v>40</v>
      </c>
      <c r="B43" s="1">
        <v>3</v>
      </c>
      <c r="C43" s="1">
        <v>1519.76</v>
      </c>
      <c r="D43" s="1">
        <v>2</v>
      </c>
      <c r="E43" s="1">
        <v>942.94849999999997</v>
      </c>
      <c r="F43" s="3">
        <v>4</v>
      </c>
      <c r="G43" s="3">
        <v>1022.23</v>
      </c>
      <c r="H43" s="1">
        <v>3</v>
      </c>
      <c r="I43" s="1">
        <v>939.37</v>
      </c>
      <c r="J43" s="3">
        <f t="shared" si="4"/>
        <v>100</v>
      </c>
      <c r="K43" s="3">
        <f t="shared" si="5"/>
        <v>8.41</v>
      </c>
      <c r="L43" s="1">
        <f t="shared" si="6"/>
        <v>33.33</v>
      </c>
      <c r="M43" s="1">
        <f t="shared" si="7"/>
        <v>8.82</v>
      </c>
      <c r="N43" s="12"/>
      <c r="O43" s="13"/>
      <c r="P43" s="14"/>
    </row>
    <row r="44" spans="1:16" ht="17.25" hidden="1" customHeight="1" outlineLevel="1" thickBot="1">
      <c r="A44" s="6" t="s">
        <v>41</v>
      </c>
      <c r="B44" s="1">
        <v>3</v>
      </c>
      <c r="C44" s="1">
        <v>1113.53</v>
      </c>
      <c r="D44" s="1">
        <v>3</v>
      </c>
      <c r="E44" s="1">
        <v>1049.6199999999999</v>
      </c>
      <c r="F44" s="2">
        <v>3</v>
      </c>
      <c r="G44" s="2">
        <v>802.69</v>
      </c>
      <c r="H44" s="1">
        <v>2</v>
      </c>
      <c r="I44" s="1">
        <v>885.71</v>
      </c>
      <c r="J44" s="2">
        <f t="shared" si="4"/>
        <v>0</v>
      </c>
      <c r="K44" s="2">
        <f t="shared" si="5"/>
        <v>-23.53</v>
      </c>
      <c r="L44" s="1">
        <f t="shared" si="6"/>
        <v>50</v>
      </c>
      <c r="M44" s="1">
        <f t="shared" si="7"/>
        <v>-9.3699999999999992</v>
      </c>
      <c r="N44" s="15"/>
      <c r="O44" s="16"/>
      <c r="P44" s="17"/>
    </row>
    <row r="45" spans="1:16" ht="17.25" collapsed="1" thickBot="1">
      <c r="A45" s="6" t="s">
        <v>67</v>
      </c>
      <c r="B45" s="20" t="str">
        <f>COUNTA(A46:A61) &amp; " 筆"</f>
        <v>16 筆</v>
      </c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2"/>
      <c r="N45" s="1">
        <v>6</v>
      </c>
      <c r="O45" s="1">
        <v>0</v>
      </c>
      <c r="P45" s="1">
        <v>10</v>
      </c>
    </row>
    <row r="46" spans="1:16" ht="17.25" hidden="1" outlineLevel="1" thickBot="1">
      <c r="A46" s="5" t="s">
        <v>42</v>
      </c>
      <c r="B46" s="1">
        <v>16</v>
      </c>
      <c r="C46" s="1">
        <v>1828</v>
      </c>
      <c r="D46" s="1">
        <v>16</v>
      </c>
      <c r="E46" s="1">
        <v>1656.59</v>
      </c>
      <c r="F46" s="2">
        <v>16</v>
      </c>
      <c r="G46" s="2">
        <v>1652.36</v>
      </c>
      <c r="H46" s="1">
        <v>14</v>
      </c>
      <c r="I46" s="1">
        <v>1696.95</v>
      </c>
      <c r="J46" s="2">
        <f t="shared" ref="J46:J61" si="8">ROUND(((F46-D46)/D46)*100,2)</f>
        <v>0</v>
      </c>
      <c r="K46" s="2">
        <f t="shared" ref="K46:K61" si="9">ROUND(((G46-E46)/E46)*100,2)</f>
        <v>-0.26</v>
      </c>
      <c r="L46" s="1">
        <f t="shared" ref="L46:L61" si="10">ROUND(((F46-H46)/H46)*100,2)</f>
        <v>14.29</v>
      </c>
      <c r="M46" s="1">
        <f t="shared" ref="M46:M61" si="11">ROUND(((G46-I46)/I46)*100,2)</f>
        <v>-2.63</v>
      </c>
      <c r="N46" s="9"/>
      <c r="O46" s="10"/>
      <c r="P46" s="11"/>
    </row>
    <row r="47" spans="1:16" ht="17.25" hidden="1" outlineLevel="1" thickBot="1">
      <c r="A47" s="5" t="s">
        <v>43</v>
      </c>
      <c r="B47" s="1">
        <v>15</v>
      </c>
      <c r="C47" s="1">
        <v>1671.75</v>
      </c>
      <c r="D47" s="1">
        <v>13</v>
      </c>
      <c r="E47" s="1">
        <v>1532.25</v>
      </c>
      <c r="F47" s="3">
        <v>14</v>
      </c>
      <c r="G47" s="3">
        <v>1486.88</v>
      </c>
      <c r="H47" s="1">
        <v>12</v>
      </c>
      <c r="I47" s="1">
        <v>1554.75</v>
      </c>
      <c r="J47" s="3">
        <f t="shared" si="8"/>
        <v>7.69</v>
      </c>
      <c r="K47" s="3">
        <f t="shared" si="9"/>
        <v>-2.96</v>
      </c>
      <c r="L47" s="1">
        <f t="shared" si="10"/>
        <v>16.670000000000002</v>
      </c>
      <c r="M47" s="1">
        <f t="shared" si="11"/>
        <v>-4.37</v>
      </c>
      <c r="N47" s="12"/>
      <c r="O47" s="13"/>
      <c r="P47" s="14"/>
    </row>
    <row r="48" spans="1:16" ht="17.25" hidden="1" outlineLevel="1" thickBot="1">
      <c r="A48" s="5" t="s">
        <v>44</v>
      </c>
      <c r="B48" s="1">
        <v>13</v>
      </c>
      <c r="C48" s="1">
        <v>1417.78</v>
      </c>
      <c r="D48" s="1">
        <v>12</v>
      </c>
      <c r="E48" s="1">
        <v>1344.03</v>
      </c>
      <c r="F48" s="2">
        <v>12</v>
      </c>
      <c r="G48" s="2">
        <v>1297.3499999999999</v>
      </c>
      <c r="H48" s="1">
        <v>11</v>
      </c>
      <c r="I48" s="1">
        <v>1261.67</v>
      </c>
      <c r="J48" s="2">
        <f t="shared" si="8"/>
        <v>0</v>
      </c>
      <c r="K48" s="2">
        <f t="shared" si="9"/>
        <v>-3.47</v>
      </c>
      <c r="L48" s="1">
        <f t="shared" si="10"/>
        <v>9.09</v>
      </c>
      <c r="M48" s="1">
        <f t="shared" si="11"/>
        <v>2.83</v>
      </c>
      <c r="N48" s="12"/>
      <c r="O48" s="13"/>
      <c r="P48" s="14"/>
    </row>
    <row r="49" spans="1:16" ht="17.25" hidden="1" outlineLevel="1" thickBot="1">
      <c r="A49" s="5" t="s">
        <v>45</v>
      </c>
      <c r="B49" s="1">
        <v>12</v>
      </c>
      <c r="C49" s="1">
        <v>1312.42</v>
      </c>
      <c r="D49" s="1">
        <v>11</v>
      </c>
      <c r="E49" s="1">
        <v>1184.9000000000001</v>
      </c>
      <c r="F49" s="2">
        <v>10</v>
      </c>
      <c r="G49" s="2">
        <v>1173.68</v>
      </c>
      <c r="H49" s="1">
        <v>10</v>
      </c>
      <c r="I49" s="1">
        <v>1135.48</v>
      </c>
      <c r="J49" s="2">
        <f t="shared" si="8"/>
        <v>-9.09</v>
      </c>
      <c r="K49" s="2">
        <f t="shared" si="9"/>
        <v>-0.95</v>
      </c>
      <c r="L49" s="1">
        <f t="shared" si="10"/>
        <v>0</v>
      </c>
      <c r="M49" s="1">
        <f t="shared" si="11"/>
        <v>3.36</v>
      </c>
      <c r="N49" s="12"/>
      <c r="O49" s="13"/>
      <c r="P49" s="14"/>
    </row>
    <row r="50" spans="1:16" ht="17.25" hidden="1" outlineLevel="1" thickBot="1">
      <c r="A50" s="5" t="s">
        <v>46</v>
      </c>
      <c r="B50" s="1">
        <v>17</v>
      </c>
      <c r="C50" s="1">
        <v>1751.5</v>
      </c>
      <c r="D50" s="1">
        <v>14</v>
      </c>
      <c r="E50" s="1">
        <v>1662.01</v>
      </c>
      <c r="F50" s="3">
        <v>15</v>
      </c>
      <c r="G50" s="3">
        <v>1555.81</v>
      </c>
      <c r="H50" s="1">
        <v>13</v>
      </c>
      <c r="I50" s="1">
        <v>1629.44</v>
      </c>
      <c r="J50" s="3">
        <f t="shared" si="8"/>
        <v>7.14</v>
      </c>
      <c r="K50" s="3">
        <f t="shared" si="9"/>
        <v>-6.39</v>
      </c>
      <c r="L50" s="1">
        <f t="shared" si="10"/>
        <v>15.38</v>
      </c>
      <c r="M50" s="1">
        <f t="shared" si="11"/>
        <v>-4.5199999999999996</v>
      </c>
      <c r="N50" s="12"/>
      <c r="O50" s="13"/>
      <c r="P50" s="14"/>
    </row>
    <row r="51" spans="1:16" ht="17.25" hidden="1" outlineLevel="1" thickBot="1">
      <c r="A51" s="5" t="s">
        <v>47</v>
      </c>
      <c r="B51" s="1">
        <v>14</v>
      </c>
      <c r="C51" s="1">
        <v>1597.59</v>
      </c>
      <c r="D51" s="1">
        <v>12</v>
      </c>
      <c r="E51" s="1">
        <v>1344.03</v>
      </c>
      <c r="F51" s="3">
        <v>13</v>
      </c>
      <c r="G51" s="3">
        <v>1405.73</v>
      </c>
      <c r="H51" s="1">
        <v>11</v>
      </c>
      <c r="I51" s="1">
        <v>1424.73</v>
      </c>
      <c r="J51" s="3">
        <f t="shared" si="8"/>
        <v>8.33</v>
      </c>
      <c r="K51" s="3">
        <f t="shared" si="9"/>
        <v>4.59</v>
      </c>
      <c r="L51" s="1">
        <f t="shared" si="10"/>
        <v>18.18</v>
      </c>
      <c r="M51" s="1">
        <f t="shared" si="11"/>
        <v>-1.33</v>
      </c>
      <c r="N51" s="12"/>
      <c r="O51" s="13"/>
      <c r="P51" s="14"/>
    </row>
    <row r="52" spans="1:16" ht="17.25" hidden="1" outlineLevel="1" thickBot="1">
      <c r="A52" s="5" t="s">
        <v>48</v>
      </c>
      <c r="B52" s="1">
        <v>13</v>
      </c>
      <c r="C52" s="1">
        <v>1519.67</v>
      </c>
      <c r="D52" s="1">
        <v>12</v>
      </c>
      <c r="E52" s="1">
        <v>1263.07</v>
      </c>
      <c r="F52" s="2">
        <v>12</v>
      </c>
      <c r="G52" s="2">
        <v>1251.25</v>
      </c>
      <c r="H52" s="1">
        <v>11</v>
      </c>
      <c r="I52" s="1">
        <v>1230.48</v>
      </c>
      <c r="J52" s="2">
        <f t="shared" si="8"/>
        <v>0</v>
      </c>
      <c r="K52" s="2">
        <f t="shared" si="9"/>
        <v>-0.94</v>
      </c>
      <c r="L52" s="1">
        <f t="shared" si="10"/>
        <v>9.09</v>
      </c>
      <c r="M52" s="1">
        <f t="shared" si="11"/>
        <v>1.69</v>
      </c>
      <c r="N52" s="12"/>
      <c r="O52" s="13"/>
      <c r="P52" s="14"/>
    </row>
    <row r="53" spans="1:16" ht="17.25" hidden="1" outlineLevel="1" thickBot="1">
      <c r="A53" s="5" t="s">
        <v>49</v>
      </c>
      <c r="B53" s="1">
        <v>12</v>
      </c>
      <c r="C53" s="1">
        <v>1376.49</v>
      </c>
      <c r="D53" s="1">
        <v>11</v>
      </c>
      <c r="E53" s="1">
        <v>1144.94</v>
      </c>
      <c r="F53" s="2">
        <v>11</v>
      </c>
      <c r="G53" s="2">
        <v>1140.6600000000001</v>
      </c>
      <c r="H53" s="1">
        <v>10</v>
      </c>
      <c r="I53" s="1">
        <v>1139.82</v>
      </c>
      <c r="J53" s="2">
        <f t="shared" si="8"/>
        <v>0</v>
      </c>
      <c r="K53" s="2">
        <f t="shared" si="9"/>
        <v>-0.37</v>
      </c>
      <c r="L53" s="1">
        <f t="shared" si="10"/>
        <v>10</v>
      </c>
      <c r="M53" s="1">
        <f t="shared" si="11"/>
        <v>7.0000000000000007E-2</v>
      </c>
      <c r="N53" s="12"/>
      <c r="O53" s="13"/>
      <c r="P53" s="14"/>
    </row>
    <row r="54" spans="1:16" ht="17.25" hidden="1" outlineLevel="1" thickBot="1">
      <c r="A54" s="5" t="s">
        <v>50</v>
      </c>
      <c r="B54" s="1">
        <v>5</v>
      </c>
      <c r="C54" s="1">
        <v>1892.21</v>
      </c>
      <c r="D54" s="1">
        <v>4</v>
      </c>
      <c r="E54" s="1">
        <v>1442.28</v>
      </c>
      <c r="F54" s="3">
        <v>6</v>
      </c>
      <c r="G54" s="3">
        <v>1389.68</v>
      </c>
      <c r="H54" s="1">
        <v>4</v>
      </c>
      <c r="I54" s="1">
        <v>1406.94</v>
      </c>
      <c r="J54" s="3">
        <f t="shared" si="8"/>
        <v>50</v>
      </c>
      <c r="K54" s="3">
        <f t="shared" si="9"/>
        <v>-3.65</v>
      </c>
      <c r="L54" s="1">
        <f t="shared" si="10"/>
        <v>50</v>
      </c>
      <c r="M54" s="1">
        <f t="shared" si="11"/>
        <v>-1.23</v>
      </c>
      <c r="N54" s="12"/>
      <c r="O54" s="13"/>
      <c r="P54" s="14"/>
    </row>
    <row r="55" spans="1:16" ht="17.25" hidden="1" outlineLevel="1" thickBot="1">
      <c r="A55" s="5" t="s">
        <v>51</v>
      </c>
      <c r="B55" s="1">
        <v>4</v>
      </c>
      <c r="C55" s="1">
        <v>1843.2</v>
      </c>
      <c r="D55" s="1">
        <v>4</v>
      </c>
      <c r="E55" s="1">
        <v>1212.49</v>
      </c>
      <c r="F55" s="3">
        <v>6</v>
      </c>
      <c r="G55" s="3">
        <v>1225.8699999999999</v>
      </c>
      <c r="H55" s="1">
        <v>3</v>
      </c>
      <c r="I55" s="1">
        <v>1365.65</v>
      </c>
      <c r="J55" s="3">
        <f t="shared" si="8"/>
        <v>50</v>
      </c>
      <c r="K55" s="3">
        <f t="shared" si="9"/>
        <v>1.1000000000000001</v>
      </c>
      <c r="L55" s="1">
        <f t="shared" si="10"/>
        <v>100</v>
      </c>
      <c r="M55" s="1">
        <f t="shared" si="11"/>
        <v>-10.24</v>
      </c>
      <c r="N55" s="12"/>
      <c r="O55" s="13"/>
      <c r="P55" s="14"/>
    </row>
    <row r="56" spans="1:16" ht="17.25" hidden="1" outlineLevel="1" thickBot="1">
      <c r="A56" s="5" t="s">
        <v>52</v>
      </c>
      <c r="B56" s="1">
        <v>4</v>
      </c>
      <c r="C56" s="1">
        <v>1514.02</v>
      </c>
      <c r="D56" s="1">
        <v>3</v>
      </c>
      <c r="E56" s="1">
        <v>1197.67</v>
      </c>
      <c r="F56" s="3">
        <v>5</v>
      </c>
      <c r="G56" s="3">
        <v>1021.41</v>
      </c>
      <c r="H56" s="1">
        <v>3</v>
      </c>
      <c r="I56" s="1">
        <v>1049.6199999999999</v>
      </c>
      <c r="J56" s="3">
        <f t="shared" si="8"/>
        <v>66.67</v>
      </c>
      <c r="K56" s="3">
        <f t="shared" si="9"/>
        <v>-14.72</v>
      </c>
      <c r="L56" s="1">
        <f t="shared" si="10"/>
        <v>66.67</v>
      </c>
      <c r="M56" s="1">
        <f t="shared" si="11"/>
        <v>-2.69</v>
      </c>
      <c r="N56" s="12"/>
      <c r="O56" s="13"/>
      <c r="P56" s="14"/>
    </row>
    <row r="57" spans="1:16" ht="17.25" hidden="1" outlineLevel="1" thickBot="1">
      <c r="A57" s="5" t="s">
        <v>53</v>
      </c>
      <c r="B57" s="1">
        <v>3</v>
      </c>
      <c r="C57" s="1">
        <v>1196.08</v>
      </c>
      <c r="D57" s="1">
        <v>10</v>
      </c>
      <c r="E57" s="1">
        <v>854.31</v>
      </c>
      <c r="F57" s="2">
        <v>4</v>
      </c>
      <c r="G57" s="2">
        <v>842.82</v>
      </c>
      <c r="H57" s="1">
        <v>3</v>
      </c>
      <c r="I57" s="1">
        <v>798.46</v>
      </c>
      <c r="J57" s="2">
        <f t="shared" si="8"/>
        <v>-60</v>
      </c>
      <c r="K57" s="2">
        <f t="shared" si="9"/>
        <v>-1.34</v>
      </c>
      <c r="L57" s="1">
        <f t="shared" si="10"/>
        <v>33.33</v>
      </c>
      <c r="M57" s="1">
        <f t="shared" si="11"/>
        <v>5.56</v>
      </c>
      <c r="N57" s="12"/>
      <c r="O57" s="13"/>
      <c r="P57" s="14"/>
    </row>
    <row r="58" spans="1:16" ht="17.25" hidden="1" outlineLevel="1" thickBot="1">
      <c r="A58" s="5" t="s">
        <v>54</v>
      </c>
      <c r="B58" s="1">
        <v>5</v>
      </c>
      <c r="C58" s="1">
        <v>1981.75</v>
      </c>
      <c r="D58" s="1">
        <v>4</v>
      </c>
      <c r="E58" s="1">
        <v>1337.65</v>
      </c>
      <c r="F58" s="3">
        <v>6</v>
      </c>
      <c r="G58" s="3">
        <v>1288.45</v>
      </c>
      <c r="H58" s="1">
        <v>4</v>
      </c>
      <c r="I58" s="1">
        <v>1297.6500000000001</v>
      </c>
      <c r="J58" s="3">
        <f t="shared" si="8"/>
        <v>50</v>
      </c>
      <c r="K58" s="3">
        <f t="shared" si="9"/>
        <v>-3.68</v>
      </c>
      <c r="L58" s="1">
        <f t="shared" si="10"/>
        <v>50</v>
      </c>
      <c r="M58" s="1">
        <f t="shared" si="11"/>
        <v>-0.71</v>
      </c>
      <c r="N58" s="12"/>
      <c r="O58" s="13"/>
      <c r="P58" s="14"/>
    </row>
    <row r="59" spans="1:16" ht="17.25" hidden="1" outlineLevel="1" thickBot="1">
      <c r="A59" s="5" t="s">
        <v>55</v>
      </c>
      <c r="B59" s="1">
        <v>4</v>
      </c>
      <c r="C59" s="1">
        <v>1644.44</v>
      </c>
      <c r="D59" s="1">
        <v>4</v>
      </c>
      <c r="E59" s="1">
        <v>1114.76</v>
      </c>
      <c r="F59" s="3">
        <v>4</v>
      </c>
      <c r="G59" s="3">
        <v>1234.22</v>
      </c>
      <c r="H59" s="1">
        <v>3</v>
      </c>
      <c r="I59" s="1">
        <v>1146.32</v>
      </c>
      <c r="J59" s="3">
        <f t="shared" si="8"/>
        <v>0</v>
      </c>
      <c r="K59" s="3">
        <f t="shared" si="9"/>
        <v>10.72</v>
      </c>
      <c r="L59" s="1">
        <f t="shared" si="10"/>
        <v>33.33</v>
      </c>
      <c r="M59" s="1">
        <f t="shared" si="11"/>
        <v>7.67</v>
      </c>
      <c r="N59" s="12"/>
      <c r="O59" s="13"/>
      <c r="P59" s="14"/>
    </row>
    <row r="60" spans="1:16" ht="17.25" hidden="1" outlineLevel="1" thickBot="1">
      <c r="A60" s="5" t="s">
        <v>56</v>
      </c>
      <c r="B60" s="1">
        <v>4</v>
      </c>
      <c r="C60" s="1">
        <v>1599.2</v>
      </c>
      <c r="D60" s="1">
        <v>4</v>
      </c>
      <c r="E60" s="1">
        <v>1055.71</v>
      </c>
      <c r="F60" s="3">
        <v>4</v>
      </c>
      <c r="G60" s="3">
        <v>1134.8699999999999</v>
      </c>
      <c r="H60" s="1">
        <v>3</v>
      </c>
      <c r="I60" s="1">
        <v>1061.1400000000001</v>
      </c>
      <c r="J60" s="3">
        <f t="shared" si="8"/>
        <v>0</v>
      </c>
      <c r="K60" s="3">
        <f t="shared" si="9"/>
        <v>7.5</v>
      </c>
      <c r="L60" s="1">
        <f t="shared" si="10"/>
        <v>33.33</v>
      </c>
      <c r="M60" s="1">
        <f t="shared" si="11"/>
        <v>6.95</v>
      </c>
      <c r="N60" s="12"/>
      <c r="O60" s="13"/>
      <c r="P60" s="14"/>
    </row>
    <row r="61" spans="1:16" ht="17.25" hidden="1" outlineLevel="1" thickBot="1">
      <c r="A61" s="5" t="s">
        <v>57</v>
      </c>
      <c r="B61" s="1">
        <v>3</v>
      </c>
      <c r="C61" s="1">
        <v>1203.03</v>
      </c>
      <c r="D61" s="1">
        <v>3</v>
      </c>
      <c r="E61" s="1">
        <v>860.53</v>
      </c>
      <c r="F61" s="3">
        <v>3</v>
      </c>
      <c r="G61" s="3">
        <v>892.49</v>
      </c>
      <c r="H61" s="1">
        <v>3</v>
      </c>
      <c r="I61" s="1">
        <v>828.14</v>
      </c>
      <c r="J61" s="3">
        <f t="shared" si="8"/>
        <v>0</v>
      </c>
      <c r="K61" s="3">
        <f t="shared" si="9"/>
        <v>3.71</v>
      </c>
      <c r="L61" s="1">
        <f t="shared" si="10"/>
        <v>0</v>
      </c>
      <c r="M61" s="1">
        <f t="shared" si="11"/>
        <v>7.77</v>
      </c>
      <c r="N61" s="15"/>
      <c r="O61" s="16"/>
      <c r="P61" s="17"/>
    </row>
    <row r="62" spans="1:16" ht="17.25" collapsed="1" thickBot="1">
      <c r="A62" s="6" t="s">
        <v>72</v>
      </c>
      <c r="B62" s="20" t="str">
        <f>"總共 " &amp; SUM(N62:P62) &amp; " 筆"</f>
        <v>總共 56 筆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2"/>
      <c r="N62" s="1">
        <f>N3+N21+N45</f>
        <v>22</v>
      </c>
      <c r="O62" s="1">
        <f t="shared" ref="O62:P62" si="12">O3+O21+O45</f>
        <v>12</v>
      </c>
      <c r="P62" s="1">
        <f t="shared" si="12"/>
        <v>22</v>
      </c>
    </row>
  </sheetData>
  <mergeCells count="14">
    <mergeCell ref="N46:P61"/>
    <mergeCell ref="N22:P44"/>
    <mergeCell ref="N4:P20"/>
    <mergeCell ref="N1:P1"/>
    <mergeCell ref="B62:M62"/>
    <mergeCell ref="B3:M3"/>
    <mergeCell ref="B21:M21"/>
    <mergeCell ref="B45:M45"/>
    <mergeCell ref="L1:M1"/>
    <mergeCell ref="J1:K1"/>
    <mergeCell ref="B1:C1"/>
    <mergeCell ref="D1:E1"/>
    <mergeCell ref="F1:G1"/>
    <mergeCell ref="H1:I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楊宏傑</dc:creator>
  <cp:lastModifiedBy>楊宏傑</cp:lastModifiedBy>
  <dcterms:created xsi:type="dcterms:W3CDTF">2026-04-07T04:28:08Z</dcterms:created>
  <dcterms:modified xsi:type="dcterms:W3CDTF">2026-04-20T07:20:24Z</dcterms:modified>
</cp:coreProperties>
</file>