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ntut\115_NTUT_Thesis\docs\"/>
    </mc:Choice>
  </mc:AlternateContent>
  <xr:revisionPtr revIDLastSave="0" documentId="13_ncr:1_{03C00C69-3782-435B-919D-15860345E014}" xr6:coauthVersionLast="47" xr6:coauthVersionMax="47" xr10:uidLastSave="{00000000-0000-0000-0000-000000000000}"/>
  <bookViews>
    <workbookView xWindow="-120" yWindow="-120" windowWidth="38640" windowHeight="21840" xr2:uid="{9DD6E340-DFE3-4B7E-9025-343BD89F474F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5" i="1" l="1"/>
  <c r="P65" i="1"/>
  <c r="N65" i="1"/>
  <c r="B56" i="1"/>
  <c r="B47" i="1"/>
  <c r="B35" i="1"/>
  <c r="B22" i="1"/>
  <c r="B13" i="1"/>
  <c r="B3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M5" i="1"/>
  <c r="M6" i="1"/>
  <c r="M7" i="1"/>
  <c r="M8" i="1"/>
  <c r="M9" i="1"/>
  <c r="M10" i="1"/>
  <c r="M11" i="1"/>
  <c r="M12" i="1"/>
  <c r="M14" i="1"/>
  <c r="M15" i="1"/>
  <c r="M16" i="1"/>
  <c r="M17" i="1"/>
  <c r="M18" i="1"/>
  <c r="M19" i="1"/>
  <c r="M20" i="1"/>
  <c r="M21" i="1"/>
  <c r="M36" i="1"/>
  <c r="M37" i="1"/>
  <c r="M38" i="1"/>
  <c r="M39" i="1"/>
  <c r="M40" i="1"/>
  <c r="M41" i="1"/>
  <c r="M42" i="1"/>
  <c r="M43" i="1"/>
  <c r="M44" i="1"/>
  <c r="M45" i="1"/>
  <c r="M46" i="1"/>
  <c r="M48" i="1"/>
  <c r="M49" i="1"/>
  <c r="M50" i="1"/>
  <c r="M51" i="1"/>
  <c r="M52" i="1"/>
  <c r="M53" i="1"/>
  <c r="M54" i="1"/>
  <c r="M55" i="1"/>
  <c r="M57" i="1"/>
  <c r="M58" i="1"/>
  <c r="M59" i="1"/>
  <c r="M60" i="1"/>
  <c r="M61" i="1"/>
  <c r="M62" i="1"/>
  <c r="M63" i="1"/>
  <c r="M64" i="1"/>
  <c r="M4" i="1"/>
  <c r="L5" i="1"/>
  <c r="L6" i="1"/>
  <c r="L7" i="1"/>
  <c r="L8" i="1"/>
  <c r="L9" i="1"/>
  <c r="L10" i="1"/>
  <c r="L11" i="1"/>
  <c r="L12" i="1"/>
  <c r="L14" i="1"/>
  <c r="L15" i="1"/>
  <c r="L16" i="1"/>
  <c r="L17" i="1"/>
  <c r="L18" i="1"/>
  <c r="L19" i="1"/>
  <c r="L20" i="1"/>
  <c r="L21" i="1"/>
  <c r="L36" i="1"/>
  <c r="L37" i="1"/>
  <c r="L38" i="1"/>
  <c r="L39" i="1"/>
  <c r="L40" i="1"/>
  <c r="L41" i="1"/>
  <c r="L42" i="1"/>
  <c r="L43" i="1"/>
  <c r="L44" i="1"/>
  <c r="L45" i="1"/>
  <c r="L46" i="1"/>
  <c r="L48" i="1"/>
  <c r="L49" i="1"/>
  <c r="L50" i="1"/>
  <c r="L51" i="1"/>
  <c r="L52" i="1"/>
  <c r="L53" i="1"/>
  <c r="L54" i="1"/>
  <c r="L55" i="1"/>
  <c r="L57" i="1"/>
  <c r="L58" i="1"/>
  <c r="L59" i="1"/>
  <c r="L60" i="1"/>
  <c r="L61" i="1"/>
  <c r="L62" i="1"/>
  <c r="L63" i="1"/>
  <c r="L64" i="1"/>
  <c r="L4" i="1"/>
  <c r="K5" i="1"/>
  <c r="K6" i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36" i="1"/>
  <c r="K37" i="1"/>
  <c r="K38" i="1"/>
  <c r="K39" i="1"/>
  <c r="K40" i="1"/>
  <c r="K41" i="1"/>
  <c r="K42" i="1"/>
  <c r="K43" i="1"/>
  <c r="K44" i="1"/>
  <c r="K45" i="1"/>
  <c r="K46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K63" i="1"/>
  <c r="K64" i="1"/>
  <c r="K4" i="1"/>
  <c r="J5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36" i="1"/>
  <c r="J37" i="1"/>
  <c r="J38" i="1"/>
  <c r="J39" i="1"/>
  <c r="J40" i="1"/>
  <c r="J41" i="1"/>
  <c r="J42" i="1"/>
  <c r="J43" i="1"/>
  <c r="J44" i="1"/>
  <c r="J45" i="1"/>
  <c r="J46" i="1"/>
  <c r="J48" i="1"/>
  <c r="J49" i="1"/>
  <c r="J50" i="1"/>
  <c r="J51" i="1"/>
  <c r="J52" i="1"/>
  <c r="J53" i="1"/>
  <c r="J54" i="1"/>
  <c r="J55" i="1"/>
  <c r="J57" i="1"/>
  <c r="J58" i="1"/>
  <c r="J59" i="1"/>
  <c r="J60" i="1"/>
  <c r="J61" i="1"/>
  <c r="J62" i="1"/>
  <c r="J63" i="1"/>
  <c r="J64" i="1"/>
  <c r="J4" i="1"/>
  <c r="B65" i="1" l="1"/>
</calcChain>
</file>

<file path=xl/sharedStrings.xml><?xml version="1.0" encoding="utf-8"?>
<sst xmlns="http://schemas.openxmlformats.org/spreadsheetml/2006/main" count="86" uniqueCount="76">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</sst>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dimension ref="A1:P65"/>
  <sheetViews>
    <sheetView tabSelected="1" zoomScale="145" zoomScaleNormal="145" workbookViewId="0">
      <pane xSplit="19" ySplit="5" topLeftCell="T13" activePane="bottomRight" state="frozen"/>
      <selection pane="topRight" activeCell="T1" sqref="T1"/>
      <selection pane="bottomLeft" activeCell="A6" sqref="A6"/>
      <selection pane="bottomRight" activeCell="H76" sqref="H76"/>
    </sheetView>
  </sheetViews>
  <sheetFormatPr defaultRowHeight="16.5" outlineLevelRow="1"/>
  <cols>
    <col min="1" max="1" width="11.875" customWidth="1"/>
    <col min="2" max="2" width="3.75" bestFit="1" customWidth="1"/>
    <col min="3" max="3" width="8.5" bestFit="1" customWidth="1"/>
    <col min="4" max="4" width="4.25" bestFit="1" customWidth="1"/>
    <col min="5" max="5" width="9.375" customWidth="1"/>
    <col min="6" max="6" width="3.75" bestFit="1" customWidth="1"/>
    <col min="7" max="7" width="7.875" bestFit="1" customWidth="1"/>
    <col min="8" max="8" width="3.75" bestFit="1" customWidth="1"/>
    <col min="10" max="10" width="8.125" bestFit="1" customWidth="1"/>
    <col min="12" max="12" width="8.125" bestFit="1" customWidth="1"/>
  </cols>
  <sheetData>
    <row r="1" spans="1:16" ht="17.25" customHeight="1" thickBot="1">
      <c r="A1" s="4"/>
      <c r="B1" s="17" t="s">
        <v>59</v>
      </c>
      <c r="C1" s="22"/>
      <c r="D1" s="17" t="s">
        <v>62</v>
      </c>
      <c r="E1" s="22"/>
      <c r="F1" s="23" t="s">
        <v>61</v>
      </c>
      <c r="G1" s="22"/>
      <c r="H1" s="17" t="s">
        <v>60</v>
      </c>
      <c r="I1" s="22"/>
      <c r="J1" s="17" t="s">
        <v>64</v>
      </c>
      <c r="K1" s="22"/>
      <c r="L1" s="17" t="s">
        <v>63</v>
      </c>
      <c r="M1" s="22"/>
      <c r="N1" s="17" t="s">
        <v>68</v>
      </c>
      <c r="O1" s="18"/>
      <c r="P1" s="18"/>
    </row>
    <row r="2" spans="1:1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65</v>
      </c>
      <c r="O2" s="1" t="s">
        <v>66</v>
      </c>
      <c r="P2" s="1" t="s">
        <v>67</v>
      </c>
    </row>
    <row r="3" spans="1:16" ht="17.25" thickBot="1">
      <c r="A3" s="6" t="s">
        <v>70</v>
      </c>
      <c r="B3" s="19" t="str">
        <f>COUNTA(A4:A12) &amp; " 筆"</f>
        <v>9 筆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1"/>
      <c r="N3" s="1">
        <v>4</v>
      </c>
      <c r="O3" s="1">
        <v>5</v>
      </c>
      <c r="P3" s="1">
        <v>0</v>
      </c>
    </row>
    <row r="4" spans="1:16" ht="17.25" hidden="1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1">
        <v>10</v>
      </c>
      <c r="I4" s="1">
        <v>828.94</v>
      </c>
      <c r="J4" s="7">
        <f t="shared" ref="J4:J12" si="0">ROUND(((F4-D4)/D4)*100,2)</f>
        <v>0</v>
      </c>
      <c r="K4" s="7">
        <f t="shared" ref="K4:K12" si="1">ROUND(((G4-E4)/E4)*100,2)</f>
        <v>0</v>
      </c>
      <c r="L4" s="1">
        <f t="shared" ref="L4:L12" si="2">ROUND(((F4-H4)/H4)*100,2)</f>
        <v>0</v>
      </c>
      <c r="M4" s="1">
        <f t="shared" ref="M4:M12" si="3">ROUND(((G4-I4)/I4)*100,2)</f>
        <v>0</v>
      </c>
      <c r="N4" s="9"/>
      <c r="O4" s="10"/>
      <c r="P4" s="11"/>
    </row>
    <row r="5" spans="1:16" ht="17.25" hidden="1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1">
        <v>10</v>
      </c>
      <c r="I5" s="1">
        <v>828.94</v>
      </c>
      <c r="J5" s="7">
        <f t="shared" si="0"/>
        <v>0</v>
      </c>
      <c r="K5" s="7">
        <f t="shared" si="1"/>
        <v>0</v>
      </c>
      <c r="L5" s="1">
        <f t="shared" si="2"/>
        <v>0</v>
      </c>
      <c r="M5" s="1">
        <f t="shared" si="3"/>
        <v>0</v>
      </c>
      <c r="N5" s="12"/>
      <c r="O5" s="24"/>
      <c r="P5" s="13"/>
    </row>
    <row r="6" spans="1:16" ht="17.25" hidden="1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1">
        <v>10</v>
      </c>
      <c r="I6" s="1">
        <v>828.06</v>
      </c>
      <c r="J6" s="2">
        <f t="shared" si="0"/>
        <v>0</v>
      </c>
      <c r="K6" s="2">
        <f t="shared" si="1"/>
        <v>-0.33</v>
      </c>
      <c r="L6" s="1">
        <f t="shared" si="2"/>
        <v>0</v>
      </c>
      <c r="M6" s="1">
        <f t="shared" si="3"/>
        <v>0</v>
      </c>
      <c r="N6" s="12"/>
      <c r="O6" s="24"/>
      <c r="P6" s="13"/>
    </row>
    <row r="7" spans="1:16" ht="17.25" hidden="1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824.78</v>
      </c>
      <c r="H7" s="1">
        <v>10</v>
      </c>
      <c r="I7" s="1">
        <v>824.78</v>
      </c>
      <c r="J7" s="2">
        <f t="shared" si="0"/>
        <v>0</v>
      </c>
      <c r="K7" s="2">
        <f t="shared" si="1"/>
        <v>-4.5599999999999996</v>
      </c>
      <c r="L7" s="1">
        <f t="shared" si="2"/>
        <v>0</v>
      </c>
      <c r="M7" s="1">
        <f t="shared" si="3"/>
        <v>0</v>
      </c>
      <c r="N7" s="12"/>
      <c r="O7" s="24"/>
      <c r="P7" s="13"/>
    </row>
    <row r="8" spans="1:16" ht="17.25" hidden="1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1">
        <v>10</v>
      </c>
      <c r="I8" s="1">
        <v>828.94</v>
      </c>
      <c r="J8" s="7">
        <f t="shared" si="0"/>
        <v>0</v>
      </c>
      <c r="K8" s="7">
        <f t="shared" si="1"/>
        <v>0</v>
      </c>
      <c r="L8" s="1">
        <f t="shared" si="2"/>
        <v>0</v>
      </c>
      <c r="M8" s="1">
        <f t="shared" si="3"/>
        <v>0</v>
      </c>
      <c r="N8" s="12"/>
      <c r="O8" s="24"/>
      <c r="P8" s="13"/>
    </row>
    <row r="9" spans="1:16" ht="17.25" hidden="1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1">
        <v>10</v>
      </c>
      <c r="I9" s="1">
        <v>828.94</v>
      </c>
      <c r="J9" s="7">
        <f t="shared" si="0"/>
        <v>0</v>
      </c>
      <c r="K9" s="7">
        <f t="shared" si="1"/>
        <v>0</v>
      </c>
      <c r="L9" s="1">
        <f t="shared" si="2"/>
        <v>0</v>
      </c>
      <c r="M9" s="1">
        <f t="shared" si="3"/>
        <v>0</v>
      </c>
      <c r="N9" s="12"/>
      <c r="O9" s="24"/>
      <c r="P9" s="13"/>
    </row>
    <row r="10" spans="1:16" ht="17.25" hidden="1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1">
        <v>10</v>
      </c>
      <c r="I10" s="1">
        <v>828.94</v>
      </c>
      <c r="J10" s="7">
        <f t="shared" si="0"/>
        <v>0</v>
      </c>
      <c r="K10" s="7">
        <f t="shared" si="1"/>
        <v>0</v>
      </c>
      <c r="L10" s="1">
        <f t="shared" si="2"/>
        <v>0</v>
      </c>
      <c r="M10" s="1">
        <f t="shared" si="3"/>
        <v>0</v>
      </c>
      <c r="N10" s="12"/>
      <c r="O10" s="24"/>
      <c r="P10" s="13"/>
    </row>
    <row r="11" spans="1:16" ht="17.25" hidden="1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1">
        <v>10</v>
      </c>
      <c r="I11" s="1">
        <v>828.94</v>
      </c>
      <c r="J11" s="2">
        <f t="shared" si="0"/>
        <v>0</v>
      </c>
      <c r="K11" s="2">
        <f t="shared" si="1"/>
        <v>-2.97</v>
      </c>
      <c r="L11" s="1">
        <f t="shared" si="2"/>
        <v>0</v>
      </c>
      <c r="M11" s="1">
        <f t="shared" si="3"/>
        <v>0</v>
      </c>
      <c r="N11" s="12"/>
      <c r="O11" s="24"/>
      <c r="P11" s="13"/>
    </row>
    <row r="12" spans="1:16" ht="17.25" hidden="1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1">
        <v>10</v>
      </c>
      <c r="I12" s="1">
        <v>828.94</v>
      </c>
      <c r="J12" s="2">
        <f t="shared" si="0"/>
        <v>0</v>
      </c>
      <c r="K12" s="2">
        <f t="shared" si="1"/>
        <v>-3.02</v>
      </c>
      <c r="L12" s="1">
        <f t="shared" si="2"/>
        <v>0</v>
      </c>
      <c r="M12" s="1">
        <f t="shared" si="3"/>
        <v>0</v>
      </c>
      <c r="N12" s="14"/>
      <c r="O12" s="15"/>
      <c r="P12" s="16"/>
    </row>
    <row r="13" spans="1:16" ht="17.25" customHeight="1" collapsed="1" thickBot="1">
      <c r="A13" s="6" t="s">
        <v>71</v>
      </c>
      <c r="B13" s="19" t="str">
        <f>COUNTA(A14:A21) &amp; " 筆"</f>
        <v>8 筆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1">
        <v>1</v>
      </c>
      <c r="O13" s="1">
        <v>7</v>
      </c>
      <c r="P13" s="1">
        <v>0</v>
      </c>
    </row>
    <row r="14" spans="1:16" ht="17.25" hidden="1" customHeight="1" outlineLevel="1" thickBot="1">
      <c r="A14" s="6" t="s">
        <v>11</v>
      </c>
      <c r="B14" s="1">
        <v>3</v>
      </c>
      <c r="C14" s="1">
        <v>591.55999999999995</v>
      </c>
      <c r="D14" s="1">
        <v>3</v>
      </c>
      <c r="E14" s="1">
        <v>591.55999999999995</v>
      </c>
      <c r="F14" s="7">
        <v>3</v>
      </c>
      <c r="G14" s="7">
        <v>591.55999999999995</v>
      </c>
      <c r="H14" s="1">
        <v>3</v>
      </c>
      <c r="I14" s="1">
        <v>591.55999999999995</v>
      </c>
      <c r="J14" s="7">
        <f>ROUND(((F14-D14)/D14)*100,2)</f>
        <v>0</v>
      </c>
      <c r="K14" s="7">
        <f>ROUND(((G14-E14)/E14)*100,2)</f>
        <v>0</v>
      </c>
      <c r="L14" s="1">
        <f>ROUND(((F14-H14)/H14)*100,2)</f>
        <v>0</v>
      </c>
      <c r="M14" s="1">
        <f>ROUND(((G14-I14)/I14)*100,2)</f>
        <v>0</v>
      </c>
      <c r="N14" s="9"/>
      <c r="O14" s="10"/>
      <c r="P14" s="11"/>
    </row>
    <row r="15" spans="1:16" ht="17.25" hidden="1" customHeight="1" outlineLevel="1" thickBot="1">
      <c r="A15" s="6" t="s">
        <v>12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1">
        <v>3</v>
      </c>
      <c r="I15" s="1">
        <v>591.55999999999995</v>
      </c>
      <c r="J15" s="7">
        <f>ROUND(((F15-D15)/D15)*100,2)</f>
        <v>0</v>
      </c>
      <c r="K15" s="7">
        <f>ROUND(((G15-E15)/E15)*100,2)</f>
        <v>0</v>
      </c>
      <c r="L15" s="1">
        <f>ROUND(((F15-H15)/H15)*100,2)</f>
        <v>0</v>
      </c>
      <c r="M15" s="1">
        <f>ROUND(((G15-I15)/I15)*100,2)</f>
        <v>0</v>
      </c>
      <c r="N15" s="12"/>
      <c r="O15" s="24"/>
      <c r="P15" s="13"/>
    </row>
    <row r="16" spans="1:16" ht="17.25" hidden="1" customHeight="1" outlineLevel="1" thickBot="1">
      <c r="A16" s="6" t="s">
        <v>13</v>
      </c>
      <c r="B16" s="1">
        <v>3</v>
      </c>
      <c r="C16" s="1">
        <v>621.30999999999995</v>
      </c>
      <c r="D16" s="1">
        <v>3</v>
      </c>
      <c r="E16" s="1">
        <v>591.16999999999996</v>
      </c>
      <c r="F16" s="7">
        <v>3</v>
      </c>
      <c r="G16" s="7">
        <v>591.16999999999996</v>
      </c>
      <c r="H16" s="1">
        <v>3</v>
      </c>
      <c r="I16" s="1">
        <v>591.16999999999996</v>
      </c>
      <c r="J16" s="7">
        <f>ROUND(((F16-D16)/D16)*100,2)</f>
        <v>0</v>
      </c>
      <c r="K16" s="7">
        <f>ROUND(((G16-E16)/E16)*100,2)</f>
        <v>0</v>
      </c>
      <c r="L16" s="1">
        <f>ROUND(((F16-H16)/H16)*100,2)</f>
        <v>0</v>
      </c>
      <c r="M16" s="1">
        <f>ROUND(((G16-I16)/I16)*100,2)</f>
        <v>0</v>
      </c>
      <c r="N16" s="12"/>
      <c r="O16" s="24"/>
      <c r="P16" s="13"/>
    </row>
    <row r="17" spans="1:16" ht="17.25" hidden="1" customHeight="1" outlineLevel="1" thickBot="1">
      <c r="A17" s="6" t="s">
        <v>14</v>
      </c>
      <c r="B17" s="1">
        <v>3</v>
      </c>
      <c r="C17" s="1">
        <v>639.92999999999995</v>
      </c>
      <c r="D17" s="1">
        <v>3</v>
      </c>
      <c r="E17" s="1">
        <v>594.51</v>
      </c>
      <c r="F17" s="2">
        <v>3</v>
      </c>
      <c r="G17" s="2">
        <v>593.92999999999995</v>
      </c>
      <c r="H17" s="1">
        <v>3</v>
      </c>
      <c r="I17" s="1">
        <v>590.6</v>
      </c>
      <c r="J17" s="2">
        <f>ROUND(((F17-D17)/D17)*100,2)</f>
        <v>0</v>
      </c>
      <c r="K17" s="2">
        <f>ROUND(((G17-E17)/E17)*100,2)</f>
        <v>-0.1</v>
      </c>
      <c r="L17" s="1">
        <f>ROUND(((F17-H17)/H17)*100,2)</f>
        <v>0</v>
      </c>
      <c r="M17" s="1">
        <f>ROUND(((G17-I17)/I17)*100,2)</f>
        <v>0.56000000000000005</v>
      </c>
      <c r="N17" s="12"/>
      <c r="O17" s="24"/>
      <c r="P17" s="13"/>
    </row>
    <row r="18" spans="1:16" ht="17.25" hidden="1" customHeight="1" outlineLevel="1" thickBot="1">
      <c r="A18" s="6" t="s">
        <v>15</v>
      </c>
      <c r="B18" s="1">
        <v>4</v>
      </c>
      <c r="C18" s="1">
        <v>638.4</v>
      </c>
      <c r="D18" s="1">
        <v>3</v>
      </c>
      <c r="E18" s="1">
        <v>588.88</v>
      </c>
      <c r="F18" s="7">
        <v>3</v>
      </c>
      <c r="G18" s="7">
        <v>588.88</v>
      </c>
      <c r="H18" s="1">
        <v>3</v>
      </c>
      <c r="I18" s="1">
        <v>588.85</v>
      </c>
      <c r="J18" s="7">
        <f>ROUND(((F18-D18)/D18)*100,2)</f>
        <v>0</v>
      </c>
      <c r="K18" s="7">
        <f>ROUND(((G18-E18)/E18)*100,2)</f>
        <v>0</v>
      </c>
      <c r="L18" s="1">
        <f>ROUND(((F18-H18)/H18)*100,2)</f>
        <v>0</v>
      </c>
      <c r="M18" s="1">
        <f>ROUND(((G18-I18)/I18)*100,2)</f>
        <v>0.01</v>
      </c>
      <c r="N18" s="12"/>
      <c r="O18" s="24"/>
      <c r="P18" s="13"/>
    </row>
    <row r="19" spans="1:16" ht="17.25" hidden="1" customHeight="1" outlineLevel="1" thickBot="1">
      <c r="A19" s="6" t="s">
        <v>16</v>
      </c>
      <c r="B19" s="1">
        <v>3</v>
      </c>
      <c r="C19" s="1">
        <v>637.19000000000005</v>
      </c>
      <c r="D19" s="1">
        <v>3</v>
      </c>
      <c r="E19" s="1">
        <v>588.49</v>
      </c>
      <c r="F19" s="7">
        <v>3</v>
      </c>
      <c r="G19" s="7">
        <v>588.49</v>
      </c>
      <c r="H19" s="1">
        <v>3</v>
      </c>
      <c r="I19" s="1">
        <v>588.49</v>
      </c>
      <c r="J19" s="7">
        <f>ROUND(((F19-D19)/D19)*100,2)</f>
        <v>0</v>
      </c>
      <c r="K19" s="7">
        <f>ROUND(((G19-E19)/E19)*100,2)</f>
        <v>0</v>
      </c>
      <c r="L19" s="1">
        <f>ROUND(((F19-H19)/H19)*100,2)</f>
        <v>0</v>
      </c>
      <c r="M19" s="1">
        <f>ROUND(((G19-I19)/I19)*100,2)</f>
        <v>0</v>
      </c>
      <c r="N19" s="12"/>
      <c r="O19" s="24"/>
      <c r="P19" s="13"/>
    </row>
    <row r="20" spans="1:16" ht="17.25" hidden="1" customHeight="1" outlineLevel="1" thickBot="1">
      <c r="A20" s="6" t="s">
        <v>17</v>
      </c>
      <c r="B20" s="1">
        <v>3</v>
      </c>
      <c r="C20" s="1">
        <v>732.1</v>
      </c>
      <c r="D20" s="1">
        <v>3</v>
      </c>
      <c r="E20" s="1">
        <v>588.29</v>
      </c>
      <c r="F20" s="7">
        <v>3</v>
      </c>
      <c r="G20" s="7">
        <v>588.29</v>
      </c>
      <c r="H20" s="1">
        <v>3</v>
      </c>
      <c r="I20" s="1">
        <v>588.29</v>
      </c>
      <c r="J20" s="7">
        <f>ROUND(((F20-D20)/D20)*100,2)</f>
        <v>0</v>
      </c>
      <c r="K20" s="7">
        <f>ROUND(((G20-E20)/E20)*100,2)</f>
        <v>0</v>
      </c>
      <c r="L20" s="1">
        <f>ROUND(((F20-H20)/H20)*100,2)</f>
        <v>0</v>
      </c>
      <c r="M20" s="1">
        <f>ROUND(((G20-I20)/I20)*100,2)</f>
        <v>0</v>
      </c>
      <c r="N20" s="12"/>
      <c r="O20" s="24"/>
      <c r="P20" s="13"/>
    </row>
    <row r="21" spans="1:16" ht="17.25" hidden="1" customHeight="1" outlineLevel="1" thickBot="1">
      <c r="A21" s="6" t="s">
        <v>18</v>
      </c>
      <c r="B21" s="1">
        <v>3</v>
      </c>
      <c r="C21" s="1">
        <v>606.83000000000004</v>
      </c>
      <c r="D21" s="1">
        <v>3</v>
      </c>
      <c r="E21" s="1">
        <v>588.32000000000005</v>
      </c>
      <c r="F21" s="7">
        <v>3</v>
      </c>
      <c r="G21" s="7">
        <v>588.32000000000005</v>
      </c>
      <c r="H21" s="1">
        <v>3</v>
      </c>
      <c r="I21" s="1">
        <v>588.32000000000005</v>
      </c>
      <c r="J21" s="7">
        <f>ROUND(((F21-D21)/D21)*100,2)</f>
        <v>0</v>
      </c>
      <c r="K21" s="7">
        <f>ROUND(((G21-E21)/E21)*100,2)</f>
        <v>0</v>
      </c>
      <c r="L21" s="1">
        <f>ROUND(((F21-H21)/H21)*100,2)</f>
        <v>0</v>
      </c>
      <c r="M21" s="1">
        <f>ROUND(((G21-I21)/I21)*100,2)</f>
        <v>0</v>
      </c>
      <c r="N21" s="14"/>
      <c r="O21" s="15"/>
      <c r="P21" s="16"/>
    </row>
    <row r="22" spans="1:16" ht="17.25" customHeight="1" collapsed="1" thickBot="1">
      <c r="A22" s="8" t="s">
        <v>72</v>
      </c>
      <c r="B22" s="19" t="str">
        <f>COUNTA(A23:A34) &amp; " 筆"</f>
        <v>12 筆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1"/>
      <c r="N22" s="1">
        <v>5</v>
      </c>
      <c r="O22" s="1">
        <v>0</v>
      </c>
      <c r="P22" s="1">
        <v>7</v>
      </c>
    </row>
    <row r="23" spans="1:16" ht="17.25" hidden="1" customHeight="1" outlineLevel="1" thickBot="1">
      <c r="A23" s="6" t="s">
        <v>19</v>
      </c>
      <c r="B23" s="1">
        <v>20</v>
      </c>
      <c r="C23" s="1">
        <v>1754.01</v>
      </c>
      <c r="D23" s="1">
        <v>19</v>
      </c>
      <c r="E23" s="1">
        <v>1656.55</v>
      </c>
      <c r="F23" s="3">
        <v>20</v>
      </c>
      <c r="G23" s="3">
        <v>1645.01</v>
      </c>
      <c r="H23" s="1">
        <v>19</v>
      </c>
      <c r="I23" s="1">
        <v>1650.8</v>
      </c>
      <c r="J23" s="3">
        <f t="shared" ref="J23:J34" si="4">ROUND(((F23-D23)/D23)*100,2)</f>
        <v>5.26</v>
      </c>
      <c r="K23" s="3">
        <f t="shared" ref="K23:K34" si="5">ROUND(((G23-E23)/E23)*100,2)</f>
        <v>-0.7</v>
      </c>
      <c r="L23" s="1">
        <f t="shared" ref="L23:L34" si="6">ROUND(((F23-H23)/H23)*100,2)</f>
        <v>5.26</v>
      </c>
      <c r="M23" s="1">
        <f t="shared" ref="M23:M34" si="7">ROUND(((G23-I23)/I23)*100,2)</f>
        <v>-0.35</v>
      </c>
      <c r="N23" s="9"/>
      <c r="O23" s="10"/>
      <c r="P23" s="11"/>
    </row>
    <row r="24" spans="1:16" ht="17.25" hidden="1" customHeight="1" outlineLevel="1" thickBot="1">
      <c r="A24" s="6" t="s">
        <v>20</v>
      </c>
      <c r="B24" s="1">
        <v>18</v>
      </c>
      <c r="C24" s="1">
        <v>1676.48</v>
      </c>
      <c r="D24" s="1">
        <v>18</v>
      </c>
      <c r="E24" s="1">
        <v>1476.85</v>
      </c>
      <c r="F24" s="2">
        <v>18</v>
      </c>
      <c r="G24" s="2">
        <v>1466.25</v>
      </c>
      <c r="H24" s="1">
        <v>17</v>
      </c>
      <c r="I24" s="1">
        <v>1486.12</v>
      </c>
      <c r="J24" s="2">
        <f t="shared" si="4"/>
        <v>0</v>
      </c>
      <c r="K24" s="2">
        <f t="shared" si="5"/>
        <v>-0.72</v>
      </c>
      <c r="L24" s="1">
        <f t="shared" si="6"/>
        <v>5.88</v>
      </c>
      <c r="M24" s="1">
        <f t="shared" si="7"/>
        <v>-1.34</v>
      </c>
      <c r="N24" s="12"/>
      <c r="O24" s="24"/>
      <c r="P24" s="13"/>
    </row>
    <row r="25" spans="1:16" ht="17.25" hidden="1" customHeight="1" outlineLevel="1" thickBot="1">
      <c r="A25" s="6" t="s">
        <v>21</v>
      </c>
      <c r="B25" s="1">
        <v>15</v>
      </c>
      <c r="C25" s="1">
        <v>1463.66</v>
      </c>
      <c r="D25" s="1">
        <v>14</v>
      </c>
      <c r="E25" s="1">
        <v>1230.07</v>
      </c>
      <c r="F25" s="2">
        <v>14</v>
      </c>
      <c r="G25" s="2">
        <v>1201.52</v>
      </c>
      <c r="H25" s="1">
        <v>13</v>
      </c>
      <c r="I25" s="1">
        <v>1292.68</v>
      </c>
      <c r="J25" s="2">
        <f t="shared" si="4"/>
        <v>0</v>
      </c>
      <c r="K25" s="2">
        <f t="shared" si="5"/>
        <v>-2.3199999999999998</v>
      </c>
      <c r="L25" s="1">
        <f t="shared" si="6"/>
        <v>7.69</v>
      </c>
      <c r="M25" s="1">
        <f t="shared" si="7"/>
        <v>-7.05</v>
      </c>
      <c r="N25" s="12"/>
      <c r="O25" s="24"/>
      <c r="P25" s="13"/>
    </row>
    <row r="26" spans="1:16" ht="17.25" hidden="1" customHeight="1" outlineLevel="1" thickBot="1">
      <c r="A26" s="6" t="s">
        <v>22</v>
      </c>
      <c r="B26" s="1">
        <v>12</v>
      </c>
      <c r="C26" s="1">
        <v>1182.78</v>
      </c>
      <c r="D26" s="1">
        <v>10</v>
      </c>
      <c r="E26" s="1">
        <v>1010.55</v>
      </c>
      <c r="F26" s="2">
        <v>10</v>
      </c>
      <c r="G26" s="2">
        <v>991.94</v>
      </c>
      <c r="H26" s="1">
        <v>9</v>
      </c>
      <c r="I26" s="1">
        <v>1007.31</v>
      </c>
      <c r="J26" s="2">
        <f t="shared" si="4"/>
        <v>0</v>
      </c>
      <c r="K26" s="2">
        <f t="shared" si="5"/>
        <v>-1.84</v>
      </c>
      <c r="L26" s="1">
        <f t="shared" si="6"/>
        <v>11.11</v>
      </c>
      <c r="M26" s="1">
        <f t="shared" si="7"/>
        <v>-1.53</v>
      </c>
      <c r="N26" s="12"/>
      <c r="O26" s="24"/>
      <c r="P26" s="13"/>
    </row>
    <row r="27" spans="1:16" ht="17.25" hidden="1" customHeight="1" outlineLevel="1" thickBot="1">
      <c r="A27" s="6" t="s">
        <v>23</v>
      </c>
      <c r="B27" s="1">
        <v>15</v>
      </c>
      <c r="C27" s="1">
        <v>1567.15</v>
      </c>
      <c r="D27" s="1">
        <v>14</v>
      </c>
      <c r="E27" s="1">
        <v>1395.68</v>
      </c>
      <c r="F27" s="3">
        <v>15</v>
      </c>
      <c r="G27" s="3">
        <v>1389.17</v>
      </c>
      <c r="H27" s="1">
        <v>14</v>
      </c>
      <c r="I27" s="1">
        <v>1377.11</v>
      </c>
      <c r="J27" s="3">
        <f t="shared" si="4"/>
        <v>7.14</v>
      </c>
      <c r="K27" s="3">
        <f t="shared" si="5"/>
        <v>-0.47</v>
      </c>
      <c r="L27" s="1">
        <f t="shared" si="6"/>
        <v>7.14</v>
      </c>
      <c r="M27" s="1">
        <f t="shared" si="7"/>
        <v>0.88</v>
      </c>
      <c r="N27" s="12"/>
      <c r="O27" s="24"/>
      <c r="P27" s="13"/>
    </row>
    <row r="28" spans="1:16" ht="17.25" hidden="1" customHeight="1" outlineLevel="1" thickBot="1">
      <c r="A28" s="6" t="s">
        <v>24</v>
      </c>
      <c r="B28" s="1">
        <v>14</v>
      </c>
      <c r="C28" s="1">
        <v>1405.56</v>
      </c>
      <c r="D28" s="1">
        <v>13</v>
      </c>
      <c r="E28" s="1">
        <v>1261.6099999999999</v>
      </c>
      <c r="F28" s="3">
        <v>13</v>
      </c>
      <c r="G28" s="3">
        <v>1278.1600000000001</v>
      </c>
      <c r="H28" s="1">
        <v>12</v>
      </c>
      <c r="I28" s="1">
        <v>1252.03</v>
      </c>
      <c r="J28" s="3">
        <f t="shared" si="4"/>
        <v>0</v>
      </c>
      <c r="K28" s="3">
        <f t="shared" si="5"/>
        <v>1.31</v>
      </c>
      <c r="L28" s="1">
        <f t="shared" si="6"/>
        <v>8.33</v>
      </c>
      <c r="M28" s="1">
        <f t="shared" si="7"/>
        <v>2.09</v>
      </c>
      <c r="N28" s="12"/>
      <c r="O28" s="24"/>
      <c r="P28" s="13"/>
    </row>
    <row r="29" spans="1:16" ht="17.25" hidden="1" customHeight="1" outlineLevel="1" thickBot="1">
      <c r="A29" s="6" t="s">
        <v>25</v>
      </c>
      <c r="B29" s="1">
        <v>12</v>
      </c>
      <c r="C29" s="1">
        <v>1260.24</v>
      </c>
      <c r="D29" s="1">
        <v>11</v>
      </c>
      <c r="E29" s="1">
        <v>1103.77</v>
      </c>
      <c r="F29" s="2">
        <v>11</v>
      </c>
      <c r="G29" s="2">
        <v>1098.19</v>
      </c>
      <c r="H29" s="1">
        <v>10</v>
      </c>
      <c r="I29" s="1">
        <v>1104.6600000000001</v>
      </c>
      <c r="J29" s="2">
        <f t="shared" si="4"/>
        <v>0</v>
      </c>
      <c r="K29" s="2">
        <f t="shared" si="5"/>
        <v>-0.51</v>
      </c>
      <c r="L29" s="1">
        <f t="shared" si="6"/>
        <v>10</v>
      </c>
      <c r="M29" s="1">
        <f t="shared" si="7"/>
        <v>-0.59</v>
      </c>
      <c r="N29" s="12"/>
      <c r="O29" s="24"/>
      <c r="P29" s="13"/>
    </row>
    <row r="30" spans="1:16" ht="17.25" hidden="1" customHeight="1" outlineLevel="1" thickBot="1">
      <c r="A30" s="6" t="s">
        <v>26</v>
      </c>
      <c r="B30" s="1">
        <v>11</v>
      </c>
      <c r="C30" s="1">
        <v>1126.8800000000001</v>
      </c>
      <c r="D30" s="1">
        <v>10</v>
      </c>
      <c r="E30" s="1">
        <v>966.99</v>
      </c>
      <c r="F30" s="2">
        <v>10</v>
      </c>
      <c r="G30" s="2">
        <v>953.55</v>
      </c>
      <c r="H30" s="1">
        <v>9</v>
      </c>
      <c r="I30" s="1">
        <v>960.88</v>
      </c>
      <c r="J30" s="2">
        <f t="shared" si="4"/>
        <v>0</v>
      </c>
      <c r="K30" s="2">
        <f t="shared" si="5"/>
        <v>-1.39</v>
      </c>
      <c r="L30" s="1">
        <f t="shared" si="6"/>
        <v>11.11</v>
      </c>
      <c r="M30" s="1">
        <f t="shared" si="7"/>
        <v>-0.76</v>
      </c>
      <c r="N30" s="12"/>
      <c r="O30" s="24"/>
      <c r="P30" s="13"/>
    </row>
    <row r="31" spans="1:16" ht="17.25" hidden="1" customHeight="1" outlineLevel="1" thickBot="1">
      <c r="A31" s="6" t="s">
        <v>27</v>
      </c>
      <c r="B31" s="1">
        <v>13</v>
      </c>
      <c r="C31" s="1">
        <v>1386.28</v>
      </c>
      <c r="D31" s="1">
        <v>12</v>
      </c>
      <c r="E31" s="1">
        <v>1200.2</v>
      </c>
      <c r="F31" s="3">
        <v>13</v>
      </c>
      <c r="G31" s="3">
        <v>1179.8</v>
      </c>
      <c r="H31" s="1">
        <v>11</v>
      </c>
      <c r="I31" s="1">
        <v>1194.73</v>
      </c>
      <c r="J31" s="3">
        <f t="shared" si="4"/>
        <v>8.33</v>
      </c>
      <c r="K31" s="3">
        <f t="shared" si="5"/>
        <v>-1.7</v>
      </c>
      <c r="L31" s="1">
        <f t="shared" si="6"/>
        <v>18.18</v>
      </c>
      <c r="M31" s="1">
        <f t="shared" si="7"/>
        <v>-1.25</v>
      </c>
      <c r="N31" s="12"/>
      <c r="O31" s="24"/>
      <c r="P31" s="13"/>
    </row>
    <row r="32" spans="1:16" ht="17.25" hidden="1" customHeight="1" outlineLevel="1" thickBot="1">
      <c r="A32" s="6" t="s">
        <v>28</v>
      </c>
      <c r="B32" s="1">
        <v>13</v>
      </c>
      <c r="C32" s="1">
        <v>1289.46</v>
      </c>
      <c r="D32" s="1">
        <v>11</v>
      </c>
      <c r="E32" s="1">
        <v>1127.28</v>
      </c>
      <c r="F32" s="3">
        <v>12</v>
      </c>
      <c r="G32" s="3">
        <v>1114.3</v>
      </c>
      <c r="H32" s="1">
        <v>10</v>
      </c>
      <c r="I32" s="1">
        <v>1118.8399999999999</v>
      </c>
      <c r="J32" s="3">
        <f t="shared" si="4"/>
        <v>9.09</v>
      </c>
      <c r="K32" s="3">
        <f t="shared" si="5"/>
        <v>-1.1499999999999999</v>
      </c>
      <c r="L32" s="1">
        <f t="shared" si="6"/>
        <v>20</v>
      </c>
      <c r="M32" s="1">
        <f t="shared" si="7"/>
        <v>-0.41</v>
      </c>
      <c r="N32" s="12"/>
      <c r="O32" s="24"/>
      <c r="P32" s="13"/>
    </row>
    <row r="33" spans="1:16" ht="17.25" hidden="1" customHeight="1" outlineLevel="1" thickBot="1">
      <c r="A33" s="6" t="s">
        <v>29</v>
      </c>
      <c r="B33" s="1">
        <v>13</v>
      </c>
      <c r="C33" s="1">
        <v>1309.6400000000001</v>
      </c>
      <c r="D33" s="1">
        <v>11</v>
      </c>
      <c r="E33" s="1">
        <v>1096.3800000000001</v>
      </c>
      <c r="F33" s="3">
        <v>12</v>
      </c>
      <c r="G33" s="3">
        <v>1090.1600000000001</v>
      </c>
      <c r="H33" s="1">
        <v>10</v>
      </c>
      <c r="I33" s="1">
        <v>1096.72</v>
      </c>
      <c r="J33" s="3">
        <f t="shared" si="4"/>
        <v>9.09</v>
      </c>
      <c r="K33" s="3">
        <f t="shared" si="5"/>
        <v>-0.56999999999999995</v>
      </c>
      <c r="L33" s="1">
        <f t="shared" si="6"/>
        <v>20</v>
      </c>
      <c r="M33" s="1">
        <f t="shared" si="7"/>
        <v>-0.6</v>
      </c>
      <c r="N33" s="12"/>
      <c r="O33" s="24"/>
      <c r="P33" s="13"/>
    </row>
    <row r="34" spans="1:16" ht="17.25" hidden="1" customHeight="1" outlineLevel="1" thickBot="1">
      <c r="A34" s="6" t="s">
        <v>30</v>
      </c>
      <c r="B34" s="1">
        <v>11</v>
      </c>
      <c r="C34" s="1">
        <v>1181.53</v>
      </c>
      <c r="D34" s="1">
        <v>9</v>
      </c>
      <c r="E34" s="1">
        <v>982.14</v>
      </c>
      <c r="F34" s="3">
        <v>10</v>
      </c>
      <c r="G34" s="3">
        <v>984.72</v>
      </c>
      <c r="H34" s="1">
        <v>9</v>
      </c>
      <c r="I34" s="1">
        <v>982.14</v>
      </c>
      <c r="J34" s="3">
        <f t="shared" si="4"/>
        <v>11.11</v>
      </c>
      <c r="K34" s="3">
        <f t="shared" si="5"/>
        <v>0.26</v>
      </c>
      <c r="L34" s="1">
        <f t="shared" si="6"/>
        <v>11.11</v>
      </c>
      <c r="M34" s="1">
        <f t="shared" si="7"/>
        <v>0.26</v>
      </c>
      <c r="N34" s="14"/>
      <c r="O34" s="15"/>
      <c r="P34" s="16"/>
    </row>
    <row r="35" spans="1:16" ht="18" customHeight="1" collapsed="1" thickBot="1">
      <c r="A35" s="8" t="s">
        <v>73</v>
      </c>
      <c r="B35" s="19" t="str">
        <f>COUNTA(A36:A46) &amp; " 筆"</f>
        <v>11 筆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/>
      <c r="N35" s="1">
        <v>6</v>
      </c>
      <c r="O35" s="1">
        <v>0</v>
      </c>
      <c r="P35" s="1">
        <v>5</v>
      </c>
    </row>
    <row r="36" spans="1:16" ht="17.25" hidden="1" customHeight="1" outlineLevel="1" thickBot="1">
      <c r="A36" s="6" t="s">
        <v>31</v>
      </c>
      <c r="B36" s="1">
        <v>4</v>
      </c>
      <c r="C36" s="1">
        <v>1687.77</v>
      </c>
      <c r="D36" s="1">
        <v>4</v>
      </c>
      <c r="E36" s="1">
        <v>1442.28</v>
      </c>
      <c r="F36" s="3">
        <v>6</v>
      </c>
      <c r="G36" s="3">
        <v>1234.68</v>
      </c>
      <c r="H36" s="1">
        <v>4</v>
      </c>
      <c r="I36" s="1">
        <v>1252.3699999999999</v>
      </c>
      <c r="J36" s="3">
        <f>ROUND(((F36-D36)/D36)*100,2)</f>
        <v>50</v>
      </c>
      <c r="K36" s="3">
        <f>ROUND(((G36-E36)/E36)*100,2)</f>
        <v>-14.39</v>
      </c>
      <c r="L36" s="1">
        <f>ROUND(((F36-H36)/H36)*100,2)</f>
        <v>50</v>
      </c>
      <c r="M36" s="1">
        <f>ROUND(((G36-I36)/I36)*100,2)</f>
        <v>-1.41</v>
      </c>
      <c r="N36" s="9"/>
      <c r="O36" s="10"/>
      <c r="P36" s="11"/>
    </row>
    <row r="37" spans="1:16" ht="17.25" hidden="1" customHeight="1" outlineLevel="1" thickBot="1">
      <c r="A37" s="6" t="s">
        <v>32</v>
      </c>
      <c r="B37" s="1">
        <v>4</v>
      </c>
      <c r="C37" s="1">
        <v>1513.5</v>
      </c>
      <c r="D37" s="1">
        <v>4</v>
      </c>
      <c r="E37" s="1">
        <v>1212.49</v>
      </c>
      <c r="F37" s="3">
        <v>6</v>
      </c>
      <c r="G37" s="3">
        <v>1103.74</v>
      </c>
      <c r="H37" s="1">
        <v>3</v>
      </c>
      <c r="I37" s="1">
        <v>1191.7</v>
      </c>
      <c r="J37" s="3">
        <f>ROUND(((F37-D37)/D37)*100,2)</f>
        <v>50</v>
      </c>
      <c r="K37" s="3">
        <f>ROUND(((G37-E37)/E37)*100,2)</f>
        <v>-8.9700000000000006</v>
      </c>
      <c r="L37" s="1">
        <f>ROUND(((F37-H37)/H37)*100,2)</f>
        <v>100</v>
      </c>
      <c r="M37" s="1">
        <f>ROUND(((G37-I37)/I37)*100,2)</f>
        <v>-7.38</v>
      </c>
      <c r="N37" s="12"/>
      <c r="O37" s="24"/>
      <c r="P37" s="13"/>
    </row>
    <row r="38" spans="1:16" ht="17.25" hidden="1" customHeight="1" outlineLevel="1" thickBot="1">
      <c r="A38" s="6" t="s">
        <v>33</v>
      </c>
      <c r="B38" s="1">
        <v>3</v>
      </c>
      <c r="C38" s="1">
        <v>1425.91</v>
      </c>
      <c r="D38" s="1">
        <v>3</v>
      </c>
      <c r="E38" s="1">
        <v>1197.67</v>
      </c>
      <c r="F38" s="3">
        <v>5</v>
      </c>
      <c r="G38" s="3">
        <v>964.76</v>
      </c>
      <c r="H38" s="1">
        <v>3</v>
      </c>
      <c r="I38" s="1">
        <v>939.5</v>
      </c>
      <c r="J38" s="3">
        <f>ROUND(((F38-D38)/D38)*100,2)</f>
        <v>66.67</v>
      </c>
      <c r="K38" s="3">
        <f>ROUND(((G38-E38)/E38)*100,2)</f>
        <v>-19.45</v>
      </c>
      <c r="L38" s="1">
        <f>ROUND(((F38-H38)/H38)*100,2)</f>
        <v>66.67</v>
      </c>
      <c r="M38" s="1">
        <f>ROUND(((G38-I38)/I38)*100,2)</f>
        <v>2.69</v>
      </c>
      <c r="N38" s="12"/>
      <c r="O38" s="24"/>
      <c r="P38" s="13"/>
    </row>
    <row r="39" spans="1:16" ht="17.25" hidden="1" customHeight="1" outlineLevel="1" thickBot="1">
      <c r="A39" s="6" t="s">
        <v>34</v>
      </c>
      <c r="B39" s="1">
        <v>3</v>
      </c>
      <c r="C39" s="1">
        <v>1122.0899999999999</v>
      </c>
      <c r="D39" s="1">
        <v>10</v>
      </c>
      <c r="E39" s="1">
        <v>854.31</v>
      </c>
      <c r="F39" s="2">
        <v>4</v>
      </c>
      <c r="G39" s="2">
        <v>766.23</v>
      </c>
      <c r="H39" s="1">
        <v>2</v>
      </c>
      <c r="I39" s="1">
        <v>825.52</v>
      </c>
      <c r="J39" s="2">
        <f>ROUND(((F39-D39)/D39)*100,2)</f>
        <v>-60</v>
      </c>
      <c r="K39" s="2">
        <f>ROUND(((G39-E39)/E39)*100,2)</f>
        <v>-10.31</v>
      </c>
      <c r="L39" s="1">
        <f>ROUND(((F39-H39)/H39)*100,2)</f>
        <v>100</v>
      </c>
      <c r="M39" s="1">
        <f>ROUND(((G39-I39)/I39)*100,2)</f>
        <v>-7.18</v>
      </c>
      <c r="N39" s="12"/>
      <c r="O39" s="24"/>
      <c r="P39" s="13"/>
    </row>
    <row r="40" spans="1:16" ht="17.25" hidden="1" customHeight="1" outlineLevel="1" thickBot="1">
      <c r="A40" s="6" t="s">
        <v>35</v>
      </c>
      <c r="B40" s="1">
        <v>4</v>
      </c>
      <c r="C40" s="1">
        <v>1454.03</v>
      </c>
      <c r="D40" s="1">
        <v>4</v>
      </c>
      <c r="E40" s="1">
        <v>1337.65</v>
      </c>
      <c r="F40" s="2">
        <v>4</v>
      </c>
      <c r="G40" s="2">
        <v>1078.75</v>
      </c>
      <c r="H40" s="1">
        <v>3</v>
      </c>
      <c r="I40" s="1">
        <v>994.43</v>
      </c>
      <c r="J40" s="2">
        <f>ROUND(((F40-D40)/D40)*100,2)</f>
        <v>0</v>
      </c>
      <c r="K40" s="2">
        <f>ROUND(((G40-E40)/E40)*100,2)</f>
        <v>-19.350000000000001</v>
      </c>
      <c r="L40" s="1">
        <f>ROUND(((F40-H40)/H40)*100,2)</f>
        <v>33.33</v>
      </c>
      <c r="M40" s="1">
        <f>ROUND(((G40-I40)/I40)*100,2)</f>
        <v>8.48</v>
      </c>
      <c r="N40" s="12"/>
      <c r="O40" s="24"/>
      <c r="P40" s="13"/>
    </row>
    <row r="41" spans="1:16" ht="17.25" hidden="1" customHeight="1" outlineLevel="1" thickBot="1">
      <c r="A41" s="6" t="s">
        <v>36</v>
      </c>
      <c r="B41" s="1">
        <v>3</v>
      </c>
      <c r="C41" s="1">
        <v>1268.71</v>
      </c>
      <c r="D41" s="1">
        <v>4</v>
      </c>
      <c r="E41" s="1">
        <v>1114.76</v>
      </c>
      <c r="F41" s="2">
        <v>3</v>
      </c>
      <c r="G41" s="2">
        <v>1005.14</v>
      </c>
      <c r="H41" s="1">
        <v>3</v>
      </c>
      <c r="I41" s="1">
        <v>906.14</v>
      </c>
      <c r="J41" s="2">
        <f>ROUND(((F41-D41)/D41)*100,2)</f>
        <v>-25</v>
      </c>
      <c r="K41" s="2">
        <f>ROUND(((G41-E41)/E41)*100,2)</f>
        <v>-9.83</v>
      </c>
      <c r="L41" s="1">
        <f>ROUND(((F41-H41)/H41)*100,2)</f>
        <v>0</v>
      </c>
      <c r="M41" s="1">
        <f>ROUND(((G41-I41)/I41)*100,2)</f>
        <v>10.93</v>
      </c>
      <c r="N41" s="12"/>
      <c r="O41" s="24"/>
      <c r="P41" s="13"/>
    </row>
    <row r="42" spans="1:16" ht="17.25" hidden="1" customHeight="1" outlineLevel="1" thickBot="1">
      <c r="A42" s="6" t="s">
        <v>37</v>
      </c>
      <c r="B42" s="1">
        <v>3</v>
      </c>
      <c r="C42" s="1">
        <v>1207.1500000000001</v>
      </c>
      <c r="D42" s="1">
        <v>4</v>
      </c>
      <c r="E42" s="1">
        <v>1055.71</v>
      </c>
      <c r="F42" s="2">
        <v>4</v>
      </c>
      <c r="G42" s="2">
        <v>865.63</v>
      </c>
      <c r="H42" s="1">
        <v>2</v>
      </c>
      <c r="I42" s="1">
        <v>890.61</v>
      </c>
      <c r="J42" s="2">
        <f>ROUND(((F42-D42)/D42)*100,2)</f>
        <v>0</v>
      </c>
      <c r="K42" s="2">
        <f>ROUND(((G42-E42)/E42)*100,2)</f>
        <v>-18</v>
      </c>
      <c r="L42" s="1">
        <f>ROUND(((F42-H42)/H42)*100,2)</f>
        <v>100</v>
      </c>
      <c r="M42" s="1">
        <f>ROUND(((G42-I42)/I42)*100,2)</f>
        <v>-2.8</v>
      </c>
      <c r="N42" s="12"/>
      <c r="O42" s="24"/>
      <c r="P42" s="13"/>
    </row>
    <row r="43" spans="1:16" ht="17.25" hidden="1" customHeight="1" outlineLevel="1" thickBot="1">
      <c r="A43" s="6" t="s">
        <v>38</v>
      </c>
      <c r="B43" s="1">
        <v>3</v>
      </c>
      <c r="C43" s="1">
        <v>970.12</v>
      </c>
      <c r="D43" s="1">
        <v>3</v>
      </c>
      <c r="E43" s="1">
        <v>860.53</v>
      </c>
      <c r="F43" s="2">
        <v>3</v>
      </c>
      <c r="G43" s="2">
        <v>727.64</v>
      </c>
      <c r="H43" s="1">
        <v>2</v>
      </c>
      <c r="I43" s="1">
        <v>726.82</v>
      </c>
      <c r="J43" s="2">
        <f>ROUND(((F43-D43)/D43)*100,2)</f>
        <v>0</v>
      </c>
      <c r="K43" s="2">
        <f>ROUND(((G43-E43)/E43)*100,2)</f>
        <v>-15.44</v>
      </c>
      <c r="L43" s="1">
        <f>ROUND(((F43-H43)/H43)*100,2)</f>
        <v>50</v>
      </c>
      <c r="M43" s="1">
        <f>ROUND(((G43-I43)/I43)*100,2)</f>
        <v>0.11</v>
      </c>
      <c r="N43" s="12"/>
      <c r="O43" s="24"/>
      <c r="P43" s="13"/>
    </row>
    <row r="44" spans="1:16" ht="17.25" hidden="1" customHeight="1" outlineLevel="1" thickBot="1">
      <c r="A44" s="6" t="s">
        <v>39</v>
      </c>
      <c r="B44" s="1">
        <v>3</v>
      </c>
      <c r="C44" s="1">
        <v>1341.3</v>
      </c>
      <c r="D44" s="1">
        <v>2</v>
      </c>
      <c r="E44" s="1">
        <v>895.46749999999997</v>
      </c>
      <c r="F44" s="3">
        <v>4</v>
      </c>
      <c r="G44" s="3">
        <v>912.61</v>
      </c>
      <c r="H44" s="1">
        <v>3</v>
      </c>
      <c r="I44" s="1">
        <v>909.16</v>
      </c>
      <c r="J44" s="3">
        <f>ROUND(((F44-D44)/D44)*100,2)</f>
        <v>100</v>
      </c>
      <c r="K44" s="3">
        <f>ROUND(((G44-E44)/E44)*100,2)</f>
        <v>1.91</v>
      </c>
      <c r="L44" s="1">
        <f>ROUND(((F44-H44)/H44)*100,2)</f>
        <v>33.33</v>
      </c>
      <c r="M44" s="1">
        <f>ROUND(((G44-I44)/I44)*100,2)</f>
        <v>0.38</v>
      </c>
      <c r="N44" s="12"/>
      <c r="O44" s="24"/>
      <c r="P44" s="13"/>
    </row>
    <row r="45" spans="1:16" ht="17.25" hidden="1" customHeight="1" outlineLevel="1" thickBot="1">
      <c r="A45" s="6" t="s">
        <v>40</v>
      </c>
      <c r="B45" s="1">
        <v>3</v>
      </c>
      <c r="C45" s="1">
        <v>1519.76</v>
      </c>
      <c r="D45" s="1">
        <v>2</v>
      </c>
      <c r="E45" s="1">
        <v>942.94849999999997</v>
      </c>
      <c r="F45" s="3">
        <v>4</v>
      </c>
      <c r="G45" s="3">
        <v>1022.23</v>
      </c>
      <c r="H45" s="1">
        <v>3</v>
      </c>
      <c r="I45" s="1">
        <v>939.37</v>
      </c>
      <c r="J45" s="3">
        <f>ROUND(((F45-D45)/D45)*100,2)</f>
        <v>100</v>
      </c>
      <c r="K45" s="3">
        <f>ROUND(((G45-E45)/E45)*100,2)</f>
        <v>8.41</v>
      </c>
      <c r="L45" s="1">
        <f>ROUND(((F45-H45)/H45)*100,2)</f>
        <v>33.33</v>
      </c>
      <c r="M45" s="1">
        <f>ROUND(((G45-I45)/I45)*100,2)</f>
        <v>8.82</v>
      </c>
      <c r="N45" s="12"/>
      <c r="O45" s="24"/>
      <c r="P45" s="13"/>
    </row>
    <row r="46" spans="1:16" ht="17.25" hidden="1" customHeight="1" outlineLevel="1" thickBot="1">
      <c r="A46" s="6" t="s">
        <v>41</v>
      </c>
      <c r="B46" s="1">
        <v>3</v>
      </c>
      <c r="C46" s="1">
        <v>1113.53</v>
      </c>
      <c r="D46" s="1">
        <v>3</v>
      </c>
      <c r="E46" s="1">
        <v>1049.6199999999999</v>
      </c>
      <c r="F46" s="2">
        <v>3</v>
      </c>
      <c r="G46" s="2">
        <v>802.69</v>
      </c>
      <c r="H46" s="1">
        <v>2</v>
      </c>
      <c r="I46" s="1">
        <v>885.71</v>
      </c>
      <c r="J46" s="2">
        <f>ROUND(((F46-D46)/D46)*100,2)</f>
        <v>0</v>
      </c>
      <c r="K46" s="2">
        <f>ROUND(((G46-E46)/E46)*100,2)</f>
        <v>-23.53</v>
      </c>
      <c r="L46" s="1">
        <f>ROUND(((F46-H46)/H46)*100,2)</f>
        <v>50</v>
      </c>
      <c r="M46" s="1">
        <f>ROUND(((G46-I46)/I46)*100,2)</f>
        <v>-9.3699999999999992</v>
      </c>
      <c r="N46" s="14"/>
      <c r="O46" s="15"/>
      <c r="P46" s="16"/>
    </row>
    <row r="47" spans="1:16" ht="18" customHeight="1" collapsed="1" thickBot="1">
      <c r="A47" s="8" t="s">
        <v>74</v>
      </c>
      <c r="B47" s="19" t="str">
        <f>COUNTA(A48:A55) &amp; " 筆"</f>
        <v>8 筆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1"/>
      <c r="N47" s="1">
        <v>5</v>
      </c>
      <c r="O47" s="1">
        <v>0</v>
      </c>
      <c r="P47" s="1">
        <v>3</v>
      </c>
    </row>
    <row r="48" spans="1:16" ht="17.25" hidden="1" outlineLevel="1" thickBot="1">
      <c r="A48" s="5" t="s">
        <v>42</v>
      </c>
      <c r="B48" s="1">
        <v>16</v>
      </c>
      <c r="C48" s="1">
        <v>1828</v>
      </c>
      <c r="D48" s="1">
        <v>16</v>
      </c>
      <c r="E48" s="1">
        <v>1656.59</v>
      </c>
      <c r="F48" s="2">
        <v>16</v>
      </c>
      <c r="G48" s="2">
        <v>1652.36</v>
      </c>
      <c r="H48" s="1">
        <v>14</v>
      </c>
      <c r="I48" s="1">
        <v>1696.95</v>
      </c>
      <c r="J48" s="2">
        <f t="shared" ref="J48:J55" si="8">ROUND(((F48-D48)/D48)*100,2)</f>
        <v>0</v>
      </c>
      <c r="K48" s="2">
        <f t="shared" ref="K48:K55" si="9">ROUND(((G48-E48)/E48)*100,2)</f>
        <v>-0.26</v>
      </c>
      <c r="L48" s="1">
        <f t="shared" ref="L48:L55" si="10">ROUND(((F48-H48)/H48)*100,2)</f>
        <v>14.29</v>
      </c>
      <c r="M48" s="1">
        <f t="shared" ref="M48:M55" si="11">ROUND(((G48-I48)/I48)*100,2)</f>
        <v>-2.63</v>
      </c>
      <c r="N48" s="9"/>
      <c r="O48" s="10"/>
      <c r="P48" s="11"/>
    </row>
    <row r="49" spans="1:16" ht="17.25" hidden="1" outlineLevel="1" thickBot="1">
      <c r="A49" s="5" t="s">
        <v>43</v>
      </c>
      <c r="B49" s="1">
        <v>15</v>
      </c>
      <c r="C49" s="1">
        <v>1671.75</v>
      </c>
      <c r="D49" s="1">
        <v>13</v>
      </c>
      <c r="E49" s="1">
        <v>1532.25</v>
      </c>
      <c r="F49" s="3">
        <v>14</v>
      </c>
      <c r="G49" s="3">
        <v>1486.88</v>
      </c>
      <c r="H49" s="1">
        <v>12</v>
      </c>
      <c r="I49" s="1">
        <v>1554.75</v>
      </c>
      <c r="J49" s="3">
        <f t="shared" si="8"/>
        <v>7.69</v>
      </c>
      <c r="K49" s="3">
        <f t="shared" si="9"/>
        <v>-2.96</v>
      </c>
      <c r="L49" s="1">
        <f t="shared" si="10"/>
        <v>16.670000000000002</v>
      </c>
      <c r="M49" s="1">
        <f t="shared" si="11"/>
        <v>-4.37</v>
      </c>
      <c r="N49" s="12"/>
      <c r="O49" s="24"/>
      <c r="P49" s="13"/>
    </row>
    <row r="50" spans="1:16" ht="17.25" hidden="1" outlineLevel="1" thickBot="1">
      <c r="A50" s="5" t="s">
        <v>44</v>
      </c>
      <c r="B50" s="1">
        <v>13</v>
      </c>
      <c r="C50" s="1">
        <v>1417.78</v>
      </c>
      <c r="D50" s="1">
        <v>12</v>
      </c>
      <c r="E50" s="1">
        <v>1344.03</v>
      </c>
      <c r="F50" s="2">
        <v>12</v>
      </c>
      <c r="G50" s="2">
        <v>1297.3499999999999</v>
      </c>
      <c r="H50" s="1">
        <v>11</v>
      </c>
      <c r="I50" s="1">
        <v>1261.67</v>
      </c>
      <c r="J50" s="2">
        <f t="shared" si="8"/>
        <v>0</v>
      </c>
      <c r="K50" s="2">
        <f t="shared" si="9"/>
        <v>-3.47</v>
      </c>
      <c r="L50" s="1">
        <f t="shared" si="10"/>
        <v>9.09</v>
      </c>
      <c r="M50" s="1">
        <f t="shared" si="11"/>
        <v>2.83</v>
      </c>
      <c r="N50" s="12"/>
      <c r="O50" s="24"/>
      <c r="P50" s="13"/>
    </row>
    <row r="51" spans="1:16" ht="17.25" hidden="1" outlineLevel="1" thickBot="1">
      <c r="A51" s="5" t="s">
        <v>45</v>
      </c>
      <c r="B51" s="1">
        <v>12</v>
      </c>
      <c r="C51" s="1">
        <v>1312.42</v>
      </c>
      <c r="D51" s="1">
        <v>11</v>
      </c>
      <c r="E51" s="1">
        <v>1184.9000000000001</v>
      </c>
      <c r="F51" s="2">
        <v>10</v>
      </c>
      <c r="G51" s="2">
        <v>1173.68</v>
      </c>
      <c r="H51" s="1">
        <v>10</v>
      </c>
      <c r="I51" s="1">
        <v>1135.48</v>
      </c>
      <c r="J51" s="2">
        <f t="shared" si="8"/>
        <v>-9.09</v>
      </c>
      <c r="K51" s="2">
        <f t="shared" si="9"/>
        <v>-0.95</v>
      </c>
      <c r="L51" s="1">
        <f t="shared" si="10"/>
        <v>0</v>
      </c>
      <c r="M51" s="1">
        <f t="shared" si="11"/>
        <v>3.36</v>
      </c>
      <c r="N51" s="12"/>
      <c r="O51" s="24"/>
      <c r="P51" s="13"/>
    </row>
    <row r="52" spans="1:16" ht="17.25" hidden="1" outlineLevel="1" thickBot="1">
      <c r="A52" s="5" t="s">
        <v>46</v>
      </c>
      <c r="B52" s="1">
        <v>17</v>
      </c>
      <c r="C52" s="1">
        <v>1751.5</v>
      </c>
      <c r="D52" s="1">
        <v>14</v>
      </c>
      <c r="E52" s="1">
        <v>1662.01</v>
      </c>
      <c r="F52" s="3">
        <v>15</v>
      </c>
      <c r="G52" s="3">
        <v>1555.81</v>
      </c>
      <c r="H52" s="1">
        <v>13</v>
      </c>
      <c r="I52" s="1">
        <v>1629.44</v>
      </c>
      <c r="J52" s="3">
        <f t="shared" si="8"/>
        <v>7.14</v>
      </c>
      <c r="K52" s="3">
        <f t="shared" si="9"/>
        <v>-6.39</v>
      </c>
      <c r="L52" s="1">
        <f t="shared" si="10"/>
        <v>15.38</v>
      </c>
      <c r="M52" s="1">
        <f t="shared" si="11"/>
        <v>-4.5199999999999996</v>
      </c>
      <c r="N52" s="12"/>
      <c r="O52" s="24"/>
      <c r="P52" s="13"/>
    </row>
    <row r="53" spans="1:16" ht="17.25" hidden="1" outlineLevel="1" thickBot="1">
      <c r="A53" s="5" t="s">
        <v>47</v>
      </c>
      <c r="B53" s="1">
        <v>14</v>
      </c>
      <c r="C53" s="1">
        <v>1597.59</v>
      </c>
      <c r="D53" s="1">
        <v>12</v>
      </c>
      <c r="E53" s="1">
        <v>1344.03</v>
      </c>
      <c r="F53" s="3">
        <v>13</v>
      </c>
      <c r="G53" s="3">
        <v>1405.73</v>
      </c>
      <c r="H53" s="1">
        <v>11</v>
      </c>
      <c r="I53" s="1">
        <v>1424.73</v>
      </c>
      <c r="J53" s="3">
        <f t="shared" si="8"/>
        <v>8.33</v>
      </c>
      <c r="K53" s="3">
        <f t="shared" si="9"/>
        <v>4.59</v>
      </c>
      <c r="L53" s="1">
        <f t="shared" si="10"/>
        <v>18.18</v>
      </c>
      <c r="M53" s="1">
        <f t="shared" si="11"/>
        <v>-1.33</v>
      </c>
      <c r="N53" s="12"/>
      <c r="O53" s="24"/>
      <c r="P53" s="13"/>
    </row>
    <row r="54" spans="1:16" ht="17.25" hidden="1" outlineLevel="1" thickBot="1">
      <c r="A54" s="5" t="s">
        <v>48</v>
      </c>
      <c r="B54" s="1">
        <v>13</v>
      </c>
      <c r="C54" s="1">
        <v>1519.67</v>
      </c>
      <c r="D54" s="1">
        <v>12</v>
      </c>
      <c r="E54" s="1">
        <v>1263.07</v>
      </c>
      <c r="F54" s="2">
        <v>12</v>
      </c>
      <c r="G54" s="2">
        <v>1251.25</v>
      </c>
      <c r="H54" s="1">
        <v>11</v>
      </c>
      <c r="I54" s="1">
        <v>1230.48</v>
      </c>
      <c r="J54" s="2">
        <f t="shared" si="8"/>
        <v>0</v>
      </c>
      <c r="K54" s="2">
        <f t="shared" si="9"/>
        <v>-0.94</v>
      </c>
      <c r="L54" s="1">
        <f t="shared" si="10"/>
        <v>9.09</v>
      </c>
      <c r="M54" s="1">
        <f t="shared" si="11"/>
        <v>1.69</v>
      </c>
      <c r="N54" s="12"/>
      <c r="O54" s="24"/>
      <c r="P54" s="13"/>
    </row>
    <row r="55" spans="1:16" ht="17.25" hidden="1" outlineLevel="1" thickBot="1">
      <c r="A55" s="5" t="s">
        <v>49</v>
      </c>
      <c r="B55" s="1">
        <v>12</v>
      </c>
      <c r="C55" s="1">
        <v>1376.49</v>
      </c>
      <c r="D55" s="1">
        <v>11</v>
      </c>
      <c r="E55" s="1">
        <v>1144.94</v>
      </c>
      <c r="F55" s="2">
        <v>11</v>
      </c>
      <c r="G55" s="2">
        <v>1140.6600000000001</v>
      </c>
      <c r="H55" s="1">
        <v>10</v>
      </c>
      <c r="I55" s="1">
        <v>1139.82</v>
      </c>
      <c r="J55" s="2">
        <f t="shared" si="8"/>
        <v>0</v>
      </c>
      <c r="K55" s="2">
        <f t="shared" si="9"/>
        <v>-0.37</v>
      </c>
      <c r="L55" s="1">
        <f t="shared" si="10"/>
        <v>10</v>
      </c>
      <c r="M55" s="1">
        <f t="shared" si="11"/>
        <v>7.0000000000000007E-2</v>
      </c>
      <c r="N55" s="14"/>
      <c r="O55" s="15"/>
      <c r="P55" s="16"/>
    </row>
    <row r="56" spans="1:16" ht="17.25" collapsed="1" thickBot="1">
      <c r="A56" s="8" t="s">
        <v>75</v>
      </c>
      <c r="B56" s="19" t="str">
        <f>COUNTA(A57:A64) &amp; " 筆"</f>
        <v>8 筆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1"/>
      <c r="N56" s="1">
        <v>1</v>
      </c>
      <c r="O56" s="1">
        <v>0</v>
      </c>
      <c r="P56" s="1">
        <v>7</v>
      </c>
    </row>
    <row r="57" spans="1:16" ht="17.25" hidden="1" outlineLevel="1" thickBot="1">
      <c r="A57" s="5" t="s">
        <v>50</v>
      </c>
      <c r="B57" s="1">
        <v>5</v>
      </c>
      <c r="C57" s="1">
        <v>1892.21</v>
      </c>
      <c r="D57" s="1">
        <v>4</v>
      </c>
      <c r="E57" s="1">
        <v>1442.28</v>
      </c>
      <c r="F57" s="3">
        <v>6</v>
      </c>
      <c r="G57" s="3">
        <v>1389.68</v>
      </c>
      <c r="H57" s="1">
        <v>4</v>
      </c>
      <c r="I57" s="1">
        <v>1406.94</v>
      </c>
      <c r="J57" s="3">
        <f>ROUND(((F57-D57)/D57)*100,2)</f>
        <v>50</v>
      </c>
      <c r="K57" s="3">
        <f>ROUND(((G57-E57)/E57)*100,2)</f>
        <v>-3.65</v>
      </c>
      <c r="L57" s="1">
        <f>ROUND(((F57-H57)/H57)*100,2)</f>
        <v>50</v>
      </c>
      <c r="M57" s="1">
        <f>ROUND(((G57-I57)/I57)*100,2)</f>
        <v>-1.23</v>
      </c>
      <c r="N57" s="9"/>
      <c r="O57" s="10"/>
      <c r="P57" s="11"/>
    </row>
    <row r="58" spans="1:16" ht="17.25" hidden="1" outlineLevel="1" thickBot="1">
      <c r="A58" s="5" t="s">
        <v>51</v>
      </c>
      <c r="B58" s="1">
        <v>4</v>
      </c>
      <c r="C58" s="1">
        <v>1843.2</v>
      </c>
      <c r="D58" s="1">
        <v>4</v>
      </c>
      <c r="E58" s="1">
        <v>1212.49</v>
      </c>
      <c r="F58" s="3">
        <v>6</v>
      </c>
      <c r="G58" s="3">
        <v>1225.8699999999999</v>
      </c>
      <c r="H58" s="1">
        <v>3</v>
      </c>
      <c r="I58" s="1">
        <v>1365.65</v>
      </c>
      <c r="J58" s="3">
        <f>ROUND(((F58-D58)/D58)*100,2)</f>
        <v>50</v>
      </c>
      <c r="K58" s="3">
        <f>ROUND(((G58-E58)/E58)*100,2)</f>
        <v>1.1000000000000001</v>
      </c>
      <c r="L58" s="1">
        <f>ROUND(((F58-H58)/H58)*100,2)</f>
        <v>100</v>
      </c>
      <c r="M58" s="1">
        <f>ROUND(((G58-I58)/I58)*100,2)</f>
        <v>-10.24</v>
      </c>
      <c r="N58" s="12"/>
      <c r="O58" s="24"/>
      <c r="P58" s="13"/>
    </row>
    <row r="59" spans="1:16" ht="17.25" hidden="1" outlineLevel="1" thickBot="1">
      <c r="A59" s="5" t="s">
        <v>52</v>
      </c>
      <c r="B59" s="1">
        <v>4</v>
      </c>
      <c r="C59" s="1">
        <v>1514.02</v>
      </c>
      <c r="D59" s="1">
        <v>3</v>
      </c>
      <c r="E59" s="1">
        <v>1197.67</v>
      </c>
      <c r="F59" s="3">
        <v>5</v>
      </c>
      <c r="G59" s="3">
        <v>1021.41</v>
      </c>
      <c r="H59" s="1">
        <v>3</v>
      </c>
      <c r="I59" s="1">
        <v>1049.6199999999999</v>
      </c>
      <c r="J59" s="3">
        <f>ROUND(((F59-D59)/D59)*100,2)</f>
        <v>66.67</v>
      </c>
      <c r="K59" s="3">
        <f>ROUND(((G59-E59)/E59)*100,2)</f>
        <v>-14.72</v>
      </c>
      <c r="L59" s="1">
        <f>ROUND(((F59-H59)/H59)*100,2)</f>
        <v>66.67</v>
      </c>
      <c r="M59" s="1">
        <f>ROUND(((G59-I59)/I59)*100,2)</f>
        <v>-2.69</v>
      </c>
      <c r="N59" s="12"/>
      <c r="O59" s="24"/>
      <c r="P59" s="13"/>
    </row>
    <row r="60" spans="1:16" ht="17.25" hidden="1" outlineLevel="1" thickBot="1">
      <c r="A60" s="5" t="s">
        <v>53</v>
      </c>
      <c r="B60" s="1">
        <v>3</v>
      </c>
      <c r="C60" s="1">
        <v>1196.08</v>
      </c>
      <c r="D60" s="1">
        <v>10</v>
      </c>
      <c r="E60" s="1">
        <v>854.31</v>
      </c>
      <c r="F60" s="2">
        <v>4</v>
      </c>
      <c r="G60" s="2">
        <v>842.82</v>
      </c>
      <c r="H60" s="1">
        <v>3</v>
      </c>
      <c r="I60" s="1">
        <v>798.46</v>
      </c>
      <c r="J60" s="2">
        <f>ROUND(((F60-D60)/D60)*100,2)</f>
        <v>-60</v>
      </c>
      <c r="K60" s="2">
        <f>ROUND(((G60-E60)/E60)*100,2)</f>
        <v>-1.34</v>
      </c>
      <c r="L60" s="1">
        <f>ROUND(((F60-H60)/H60)*100,2)</f>
        <v>33.33</v>
      </c>
      <c r="M60" s="1">
        <f>ROUND(((G60-I60)/I60)*100,2)</f>
        <v>5.56</v>
      </c>
      <c r="N60" s="12"/>
      <c r="O60" s="24"/>
      <c r="P60" s="13"/>
    </row>
    <row r="61" spans="1:16" ht="17.25" hidden="1" outlineLevel="1" thickBot="1">
      <c r="A61" s="5" t="s">
        <v>54</v>
      </c>
      <c r="B61" s="1">
        <v>5</v>
      </c>
      <c r="C61" s="1">
        <v>1981.75</v>
      </c>
      <c r="D61" s="1">
        <v>4</v>
      </c>
      <c r="E61" s="1">
        <v>1337.65</v>
      </c>
      <c r="F61" s="3">
        <v>6</v>
      </c>
      <c r="G61" s="3">
        <v>1288.45</v>
      </c>
      <c r="H61" s="1">
        <v>4</v>
      </c>
      <c r="I61" s="1">
        <v>1297.6500000000001</v>
      </c>
      <c r="J61" s="3">
        <f>ROUND(((F61-D61)/D61)*100,2)</f>
        <v>50</v>
      </c>
      <c r="K61" s="3">
        <f>ROUND(((G61-E61)/E61)*100,2)</f>
        <v>-3.68</v>
      </c>
      <c r="L61" s="1">
        <f>ROUND(((F61-H61)/H61)*100,2)</f>
        <v>50</v>
      </c>
      <c r="M61" s="1">
        <f>ROUND(((G61-I61)/I61)*100,2)</f>
        <v>-0.71</v>
      </c>
      <c r="N61" s="12"/>
      <c r="O61" s="24"/>
      <c r="P61" s="13"/>
    </row>
    <row r="62" spans="1:16" ht="17.25" hidden="1" outlineLevel="1" thickBot="1">
      <c r="A62" s="5" t="s">
        <v>55</v>
      </c>
      <c r="B62" s="1">
        <v>4</v>
      </c>
      <c r="C62" s="1">
        <v>1644.44</v>
      </c>
      <c r="D62" s="1">
        <v>4</v>
      </c>
      <c r="E62" s="1">
        <v>1114.76</v>
      </c>
      <c r="F62" s="3">
        <v>4</v>
      </c>
      <c r="G62" s="3">
        <v>1234.22</v>
      </c>
      <c r="H62" s="1">
        <v>3</v>
      </c>
      <c r="I62" s="1">
        <v>1146.32</v>
      </c>
      <c r="J62" s="3">
        <f>ROUND(((F62-D62)/D62)*100,2)</f>
        <v>0</v>
      </c>
      <c r="K62" s="3">
        <f>ROUND(((G62-E62)/E62)*100,2)</f>
        <v>10.72</v>
      </c>
      <c r="L62" s="1">
        <f>ROUND(((F62-H62)/H62)*100,2)</f>
        <v>33.33</v>
      </c>
      <c r="M62" s="1">
        <f>ROUND(((G62-I62)/I62)*100,2)</f>
        <v>7.67</v>
      </c>
      <c r="N62" s="12"/>
      <c r="O62" s="24"/>
      <c r="P62" s="13"/>
    </row>
    <row r="63" spans="1:16" ht="17.25" hidden="1" outlineLevel="1" thickBot="1">
      <c r="A63" s="5" t="s">
        <v>56</v>
      </c>
      <c r="B63" s="1">
        <v>4</v>
      </c>
      <c r="C63" s="1">
        <v>1599.2</v>
      </c>
      <c r="D63" s="1">
        <v>4</v>
      </c>
      <c r="E63" s="1">
        <v>1055.71</v>
      </c>
      <c r="F63" s="3">
        <v>4</v>
      </c>
      <c r="G63" s="3">
        <v>1134.8699999999999</v>
      </c>
      <c r="H63" s="1">
        <v>3</v>
      </c>
      <c r="I63" s="1">
        <v>1061.1400000000001</v>
      </c>
      <c r="J63" s="3">
        <f>ROUND(((F63-D63)/D63)*100,2)</f>
        <v>0</v>
      </c>
      <c r="K63" s="3">
        <f>ROUND(((G63-E63)/E63)*100,2)</f>
        <v>7.5</v>
      </c>
      <c r="L63" s="1">
        <f>ROUND(((F63-H63)/H63)*100,2)</f>
        <v>33.33</v>
      </c>
      <c r="M63" s="1">
        <f>ROUND(((G63-I63)/I63)*100,2)</f>
        <v>6.95</v>
      </c>
      <c r="N63" s="12"/>
      <c r="O63" s="24"/>
      <c r="P63" s="13"/>
    </row>
    <row r="64" spans="1:16" ht="17.25" hidden="1" customHeight="1" outlineLevel="1" thickBot="1">
      <c r="A64" s="5" t="s">
        <v>57</v>
      </c>
      <c r="B64" s="1">
        <v>3</v>
      </c>
      <c r="C64" s="1">
        <v>1203.03</v>
      </c>
      <c r="D64" s="1">
        <v>3</v>
      </c>
      <c r="E64" s="1">
        <v>860.53</v>
      </c>
      <c r="F64" s="3">
        <v>3</v>
      </c>
      <c r="G64" s="3">
        <v>892.49</v>
      </c>
      <c r="H64" s="1">
        <v>3</v>
      </c>
      <c r="I64" s="1">
        <v>828.14</v>
      </c>
      <c r="J64" s="3">
        <f>ROUND(((F64-D64)/D64)*100,2)</f>
        <v>0</v>
      </c>
      <c r="K64" s="3">
        <f>ROUND(((G64-E64)/E64)*100,2)</f>
        <v>3.71</v>
      </c>
      <c r="L64" s="1">
        <f>ROUND(((F64-H64)/H64)*100,2)</f>
        <v>0</v>
      </c>
      <c r="M64" s="1">
        <f>ROUND(((G64-I64)/I64)*100,2)</f>
        <v>7.77</v>
      </c>
      <c r="N64" s="14"/>
      <c r="O64" s="15"/>
      <c r="P64" s="16"/>
    </row>
    <row r="65" spans="1:16" ht="15.75" customHeight="1" collapsed="1" thickBot="1">
      <c r="A65" s="6" t="s">
        <v>69</v>
      </c>
      <c r="B65" s="19" t="str">
        <f>"總共 " &amp; SUM(N65:P65) &amp; " 筆"</f>
        <v>總共 56 筆</v>
      </c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1"/>
      <c r="N65" s="1">
        <f>N3+N13+N22+N35+N47+N56</f>
        <v>22</v>
      </c>
      <c r="O65" s="1">
        <f t="shared" ref="O65:P65" si="12">O3+O13+O22+O35+O47+O56</f>
        <v>12</v>
      </c>
      <c r="P65" s="1">
        <f t="shared" si="12"/>
        <v>22</v>
      </c>
    </row>
  </sheetData>
  <mergeCells count="20">
    <mergeCell ref="B65:M65"/>
    <mergeCell ref="B35:M35"/>
    <mergeCell ref="B47:M47"/>
    <mergeCell ref="B56:M56"/>
    <mergeCell ref="N4:P12"/>
    <mergeCell ref="N57:P64"/>
    <mergeCell ref="N48:P55"/>
    <mergeCell ref="N36:P46"/>
    <mergeCell ref="N23:P34"/>
    <mergeCell ref="N14:P21"/>
    <mergeCell ref="N1:P1"/>
    <mergeCell ref="B3:M3"/>
    <mergeCell ref="L1:M1"/>
    <mergeCell ref="J1:K1"/>
    <mergeCell ref="B1:C1"/>
    <mergeCell ref="D1:E1"/>
    <mergeCell ref="F1:G1"/>
    <mergeCell ref="H1:I1"/>
    <mergeCell ref="B13:M13"/>
    <mergeCell ref="B22:M2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宏傑 楊</cp:lastModifiedBy>
  <dcterms:created xsi:type="dcterms:W3CDTF">2026-04-07T04:28:08Z</dcterms:created>
  <dcterms:modified xsi:type="dcterms:W3CDTF">2026-04-21T12:29:48Z</dcterms:modified>
</cp:coreProperties>
</file>