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0\OneDrive\桌面\115_NTUT_Thesis\docs\"/>
    </mc:Choice>
  </mc:AlternateContent>
  <xr:revisionPtr revIDLastSave="0" documentId="13_ncr:1_{23B5E3AA-D3C5-4DD9-B79B-11121D3D5034}" xr6:coauthVersionLast="47" xr6:coauthVersionMax="47" xr10:uidLastSave="{00000000-0000-0000-0000-000000000000}"/>
  <bookViews>
    <workbookView xWindow="-105" yWindow="0" windowWidth="22200" windowHeight="20985" xr2:uid="{9DD6E340-DFE3-4B7E-9025-343BD89F474F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2" l="1"/>
  <c r="B50" i="2"/>
  <c r="C70" i="2"/>
  <c r="B70" i="2"/>
  <c r="C60" i="2"/>
  <c r="B60" i="2"/>
  <c r="C50" i="2"/>
  <c r="C23" i="2"/>
  <c r="B23" i="2"/>
  <c r="C37" i="2"/>
  <c r="B3" i="2"/>
  <c r="O15" i="1"/>
  <c r="O16" i="1"/>
  <c r="O17" i="1"/>
  <c r="O18" i="1"/>
  <c r="O19" i="1"/>
  <c r="O20" i="1"/>
  <c r="O21" i="1"/>
  <c r="O22" i="1"/>
  <c r="O25" i="1"/>
  <c r="O26" i="1"/>
  <c r="O27" i="1"/>
  <c r="O28" i="1"/>
  <c r="O29" i="1"/>
  <c r="O30" i="1"/>
  <c r="O31" i="1"/>
  <c r="O32" i="1"/>
  <c r="O33" i="1"/>
  <c r="O34" i="1"/>
  <c r="O35" i="1"/>
  <c r="O36" i="1"/>
  <c r="O39" i="1"/>
  <c r="O40" i="1"/>
  <c r="O41" i="1"/>
  <c r="O42" i="1"/>
  <c r="O43" i="1"/>
  <c r="O44" i="1"/>
  <c r="O45" i="1"/>
  <c r="O46" i="1"/>
  <c r="O47" i="1"/>
  <c r="O48" i="1"/>
  <c r="O49" i="1"/>
  <c r="O52" i="1"/>
  <c r="O53" i="1"/>
  <c r="O54" i="1"/>
  <c r="O55" i="1"/>
  <c r="O56" i="1"/>
  <c r="O57" i="1"/>
  <c r="O58" i="1"/>
  <c r="O59" i="1"/>
  <c r="O62" i="1"/>
  <c r="O63" i="1"/>
  <c r="O64" i="1"/>
  <c r="O65" i="1"/>
  <c r="O66" i="1"/>
  <c r="O67" i="1"/>
  <c r="O68" i="1"/>
  <c r="O69" i="1"/>
  <c r="N5" i="1"/>
  <c r="N6" i="1"/>
  <c r="N7" i="1"/>
  <c r="N8" i="1"/>
  <c r="N9" i="1"/>
  <c r="N10" i="1"/>
  <c r="N11" i="1"/>
  <c r="N12" i="1"/>
  <c r="N15" i="1"/>
  <c r="N16" i="1"/>
  <c r="N17" i="1"/>
  <c r="N18" i="1"/>
  <c r="N19" i="1"/>
  <c r="N20" i="1"/>
  <c r="N21" i="1"/>
  <c r="N22" i="1"/>
  <c r="N25" i="1"/>
  <c r="N26" i="1"/>
  <c r="N27" i="1"/>
  <c r="N28" i="1"/>
  <c r="N29" i="1"/>
  <c r="N30" i="1"/>
  <c r="N31" i="1"/>
  <c r="N32" i="1"/>
  <c r="N33" i="1"/>
  <c r="N34" i="1"/>
  <c r="N35" i="1"/>
  <c r="N36" i="1"/>
  <c r="N39" i="1"/>
  <c r="N40" i="1"/>
  <c r="N41" i="1"/>
  <c r="N42" i="1"/>
  <c r="N43" i="1"/>
  <c r="N44" i="1"/>
  <c r="N45" i="1"/>
  <c r="N46" i="1"/>
  <c r="N47" i="1"/>
  <c r="N48" i="1"/>
  <c r="N49" i="1"/>
  <c r="N52" i="1"/>
  <c r="N53" i="1"/>
  <c r="N54" i="1"/>
  <c r="N55" i="1"/>
  <c r="N56" i="1"/>
  <c r="N57" i="1"/>
  <c r="N58" i="1"/>
  <c r="N59" i="1"/>
  <c r="N62" i="1"/>
  <c r="N63" i="1"/>
  <c r="N64" i="1"/>
  <c r="N65" i="1"/>
  <c r="N66" i="1"/>
  <c r="N67" i="1"/>
  <c r="N68" i="1"/>
  <c r="N69" i="1"/>
  <c r="N4" i="1"/>
  <c r="O5" i="1"/>
  <c r="O6" i="1"/>
  <c r="O7" i="1"/>
  <c r="O8" i="1"/>
  <c r="O9" i="1"/>
  <c r="O10" i="1"/>
  <c r="O11" i="1"/>
  <c r="O12" i="1"/>
  <c r="O4" i="1"/>
  <c r="M6" i="1"/>
  <c r="H37" i="1"/>
  <c r="D37" i="1"/>
  <c r="W71" i="1"/>
  <c r="V71" i="1"/>
  <c r="U71" i="1"/>
  <c r="H70" i="1"/>
  <c r="I70" i="1"/>
  <c r="H60" i="1"/>
  <c r="I60" i="1"/>
  <c r="I50" i="1"/>
  <c r="H50" i="1"/>
  <c r="I37" i="1"/>
  <c r="H23" i="1"/>
  <c r="I23" i="1"/>
  <c r="I13" i="1"/>
  <c r="H13" i="1"/>
  <c r="C70" i="1"/>
  <c r="D70" i="1"/>
  <c r="E70" i="1"/>
  <c r="F70" i="1"/>
  <c r="G70" i="1"/>
  <c r="J70" i="1"/>
  <c r="K70" i="1"/>
  <c r="B70" i="1"/>
  <c r="C60" i="1"/>
  <c r="D60" i="1"/>
  <c r="E60" i="1"/>
  <c r="F60" i="1"/>
  <c r="G60" i="1"/>
  <c r="J60" i="1"/>
  <c r="K60" i="1"/>
  <c r="B60" i="1"/>
  <c r="C50" i="1"/>
  <c r="D50" i="1"/>
  <c r="E50" i="1"/>
  <c r="F50" i="1"/>
  <c r="G50" i="1"/>
  <c r="J50" i="1"/>
  <c r="K50" i="1"/>
  <c r="B50" i="1"/>
  <c r="F37" i="1"/>
  <c r="C37" i="1"/>
  <c r="E37" i="1"/>
  <c r="G37" i="1"/>
  <c r="J37" i="1"/>
  <c r="K37" i="1"/>
  <c r="B37" i="1"/>
  <c r="C23" i="1"/>
  <c r="D23" i="1"/>
  <c r="E23" i="1"/>
  <c r="F23" i="1"/>
  <c r="G23" i="1"/>
  <c r="J23" i="1"/>
  <c r="K23" i="1"/>
  <c r="B23" i="1"/>
  <c r="C13" i="1"/>
  <c r="D13" i="1"/>
  <c r="E13" i="1"/>
  <c r="F13" i="1"/>
  <c r="G13" i="1"/>
  <c r="J13" i="1"/>
  <c r="K13" i="1"/>
  <c r="B13" i="1"/>
  <c r="S71" i="1"/>
  <c r="T71" i="1"/>
  <c r="R71" i="1"/>
  <c r="B61" i="1"/>
  <c r="B51" i="1"/>
  <c r="B38" i="1"/>
  <c r="B24" i="1"/>
  <c r="B14" i="1"/>
  <c r="B3" i="1"/>
  <c r="L25" i="1"/>
  <c r="M25" i="1"/>
  <c r="P25" i="1"/>
  <c r="Q25" i="1"/>
  <c r="L26" i="1"/>
  <c r="M26" i="1"/>
  <c r="P26" i="1"/>
  <c r="Q26" i="1"/>
  <c r="L27" i="1"/>
  <c r="M27" i="1"/>
  <c r="P27" i="1"/>
  <c r="Q27" i="1"/>
  <c r="L28" i="1"/>
  <c r="M28" i="1"/>
  <c r="P28" i="1"/>
  <c r="Q28" i="1"/>
  <c r="L29" i="1"/>
  <c r="M29" i="1"/>
  <c r="P29" i="1"/>
  <c r="Q29" i="1"/>
  <c r="L30" i="1"/>
  <c r="M30" i="1"/>
  <c r="P30" i="1"/>
  <c r="Q30" i="1"/>
  <c r="L31" i="1"/>
  <c r="M31" i="1"/>
  <c r="P31" i="1"/>
  <c r="Q31" i="1"/>
  <c r="L32" i="1"/>
  <c r="M32" i="1"/>
  <c r="P32" i="1"/>
  <c r="Q32" i="1"/>
  <c r="L33" i="1"/>
  <c r="M33" i="1"/>
  <c r="P33" i="1"/>
  <c r="Q33" i="1"/>
  <c r="L34" i="1"/>
  <c r="M34" i="1"/>
  <c r="P34" i="1"/>
  <c r="Q34" i="1"/>
  <c r="L35" i="1"/>
  <c r="M35" i="1"/>
  <c r="P35" i="1"/>
  <c r="Q35" i="1"/>
  <c r="L36" i="1"/>
  <c r="M36" i="1"/>
  <c r="P36" i="1"/>
  <c r="Q36" i="1"/>
  <c r="Q5" i="1"/>
  <c r="Q6" i="1"/>
  <c r="Q7" i="1"/>
  <c r="Q8" i="1"/>
  <c r="Q9" i="1"/>
  <c r="Q10" i="1"/>
  <c r="Q11" i="1"/>
  <c r="Q12" i="1"/>
  <c r="Q15" i="1"/>
  <c r="Q16" i="1"/>
  <c r="Q17" i="1"/>
  <c r="Q18" i="1"/>
  <c r="Q19" i="1"/>
  <c r="Q20" i="1"/>
  <c r="Q21" i="1"/>
  <c r="Q22" i="1"/>
  <c r="Q39" i="1"/>
  <c r="Q40" i="1"/>
  <c r="Q41" i="1"/>
  <c r="Q42" i="1"/>
  <c r="Q43" i="1"/>
  <c r="Q44" i="1"/>
  <c r="Q45" i="1"/>
  <c r="Q46" i="1"/>
  <c r="Q47" i="1"/>
  <c r="Q48" i="1"/>
  <c r="Q49" i="1"/>
  <c r="Q52" i="1"/>
  <c r="Q53" i="1"/>
  <c r="Q54" i="1"/>
  <c r="Q55" i="1"/>
  <c r="Q56" i="1"/>
  <c r="Q57" i="1"/>
  <c r="Q58" i="1"/>
  <c r="Q59" i="1"/>
  <c r="Q62" i="1"/>
  <c r="Q63" i="1"/>
  <c r="Q64" i="1"/>
  <c r="Q65" i="1"/>
  <c r="Q66" i="1"/>
  <c r="Q67" i="1"/>
  <c r="Q68" i="1"/>
  <c r="Q69" i="1"/>
  <c r="Q4" i="1"/>
  <c r="P5" i="1"/>
  <c r="P6" i="1"/>
  <c r="P7" i="1"/>
  <c r="P8" i="1"/>
  <c r="P9" i="1"/>
  <c r="P10" i="1"/>
  <c r="P11" i="1"/>
  <c r="P12" i="1"/>
  <c r="P15" i="1"/>
  <c r="P16" i="1"/>
  <c r="P17" i="1"/>
  <c r="P18" i="1"/>
  <c r="P19" i="1"/>
  <c r="P20" i="1"/>
  <c r="P21" i="1"/>
  <c r="P22" i="1"/>
  <c r="P39" i="1"/>
  <c r="P40" i="1"/>
  <c r="P41" i="1"/>
  <c r="P42" i="1"/>
  <c r="P43" i="1"/>
  <c r="P44" i="1"/>
  <c r="P45" i="1"/>
  <c r="P46" i="1"/>
  <c r="P47" i="1"/>
  <c r="P48" i="1"/>
  <c r="P49" i="1"/>
  <c r="P52" i="1"/>
  <c r="P53" i="1"/>
  <c r="P54" i="1"/>
  <c r="P55" i="1"/>
  <c r="P56" i="1"/>
  <c r="P57" i="1"/>
  <c r="P58" i="1"/>
  <c r="P59" i="1"/>
  <c r="P62" i="1"/>
  <c r="P63" i="1"/>
  <c r="P64" i="1"/>
  <c r="P65" i="1"/>
  <c r="P66" i="1"/>
  <c r="P67" i="1"/>
  <c r="P68" i="1"/>
  <c r="P69" i="1"/>
  <c r="P4" i="1"/>
  <c r="M5" i="1"/>
  <c r="M7" i="1"/>
  <c r="M8" i="1"/>
  <c r="M9" i="1"/>
  <c r="M10" i="1"/>
  <c r="M11" i="1"/>
  <c r="M12" i="1"/>
  <c r="M15" i="1"/>
  <c r="M16" i="1"/>
  <c r="M17" i="1"/>
  <c r="M18" i="1"/>
  <c r="M19" i="1"/>
  <c r="M20" i="1"/>
  <c r="M21" i="1"/>
  <c r="M22" i="1"/>
  <c r="M39" i="1"/>
  <c r="M40" i="1"/>
  <c r="M41" i="1"/>
  <c r="M42" i="1"/>
  <c r="M43" i="1"/>
  <c r="M44" i="1"/>
  <c r="M45" i="1"/>
  <c r="M46" i="1"/>
  <c r="M47" i="1"/>
  <c r="M48" i="1"/>
  <c r="M49" i="1"/>
  <c r="M52" i="1"/>
  <c r="M53" i="1"/>
  <c r="M54" i="1"/>
  <c r="M55" i="1"/>
  <c r="M56" i="1"/>
  <c r="M57" i="1"/>
  <c r="M58" i="1"/>
  <c r="M59" i="1"/>
  <c r="M62" i="1"/>
  <c r="M63" i="1"/>
  <c r="M64" i="1"/>
  <c r="M65" i="1"/>
  <c r="M66" i="1"/>
  <c r="M67" i="1"/>
  <c r="M68" i="1"/>
  <c r="M69" i="1"/>
  <c r="M4" i="1"/>
  <c r="L5" i="1"/>
  <c r="L6" i="1"/>
  <c r="L7" i="1"/>
  <c r="L8" i="1"/>
  <c r="L9" i="1"/>
  <c r="L10" i="1"/>
  <c r="L11" i="1"/>
  <c r="L12" i="1"/>
  <c r="L15" i="1"/>
  <c r="L16" i="1"/>
  <c r="L17" i="1"/>
  <c r="L18" i="1"/>
  <c r="L19" i="1"/>
  <c r="L20" i="1"/>
  <c r="L21" i="1"/>
  <c r="L22" i="1"/>
  <c r="L39" i="1"/>
  <c r="L40" i="1"/>
  <c r="L41" i="1"/>
  <c r="L42" i="1"/>
  <c r="L43" i="1"/>
  <c r="L44" i="1"/>
  <c r="L45" i="1"/>
  <c r="L46" i="1"/>
  <c r="L47" i="1"/>
  <c r="L48" i="1"/>
  <c r="L49" i="1"/>
  <c r="L52" i="1"/>
  <c r="L53" i="1"/>
  <c r="L54" i="1"/>
  <c r="L55" i="1"/>
  <c r="L56" i="1"/>
  <c r="L57" i="1"/>
  <c r="L58" i="1"/>
  <c r="L59" i="1"/>
  <c r="L62" i="1"/>
  <c r="L63" i="1"/>
  <c r="L64" i="1"/>
  <c r="L65" i="1"/>
  <c r="L66" i="1"/>
  <c r="L67" i="1"/>
  <c r="L68" i="1"/>
  <c r="L69" i="1"/>
  <c r="L4" i="1"/>
  <c r="C13" i="2" l="1"/>
  <c r="B13" i="2"/>
  <c r="B71" i="1"/>
</calcChain>
</file>

<file path=xl/sharedStrings.xml><?xml version="1.0" encoding="utf-8"?>
<sst xmlns="http://schemas.openxmlformats.org/spreadsheetml/2006/main" count="177" uniqueCount="83">
  <si>
    <t>Distance</t>
  </si>
  <si>
    <t>Dataset</t>
  </si>
  <si>
    <t>c101.txt</t>
  </si>
  <si>
    <t>c102.txt</t>
  </si>
  <si>
    <t>c103.txt</t>
  </si>
  <si>
    <t>c104.txt</t>
  </si>
  <si>
    <t>c105.txt</t>
  </si>
  <si>
    <t>c106.txt</t>
  </si>
  <si>
    <t>c107.txt</t>
  </si>
  <si>
    <t>c108.txt</t>
  </si>
  <si>
    <t>c109.txt</t>
  </si>
  <si>
    <t>c201.txt</t>
  </si>
  <si>
    <t>c202.txt</t>
  </si>
  <si>
    <t>c203.txt</t>
  </si>
  <si>
    <t>c204.txt</t>
  </si>
  <si>
    <t>c205.txt</t>
  </si>
  <si>
    <t>c206.txt</t>
  </si>
  <si>
    <t>c207.txt</t>
  </si>
  <si>
    <t>c208.txt</t>
  </si>
  <si>
    <t>r101.txt</t>
  </si>
  <si>
    <t>r102.txt</t>
  </si>
  <si>
    <t>r103.txt</t>
  </si>
  <si>
    <t>r104.txt</t>
  </si>
  <si>
    <t>r105.txt</t>
  </si>
  <si>
    <t>r106.txt</t>
  </si>
  <si>
    <t>r107.txt</t>
  </si>
  <si>
    <t>r108.txt</t>
  </si>
  <si>
    <t>r109.txt</t>
  </si>
  <si>
    <t>r110.txt</t>
  </si>
  <si>
    <t>r111.txt</t>
  </si>
  <si>
    <t>r112.txt</t>
  </si>
  <si>
    <t>r201.txt</t>
  </si>
  <si>
    <t>r202.txt</t>
  </si>
  <si>
    <t>r203.txt</t>
  </si>
  <si>
    <t>r204.txt</t>
  </si>
  <si>
    <t>r205.txt</t>
  </si>
  <si>
    <t>r206.txt</t>
  </si>
  <si>
    <t>r207.txt</t>
  </si>
  <si>
    <t>r208.txt</t>
  </si>
  <si>
    <t>r209.txt</t>
  </si>
  <si>
    <t>r210.txt</t>
  </si>
  <si>
    <t>r211.txt</t>
  </si>
  <si>
    <t>rc101.txt</t>
  </si>
  <si>
    <t>rc102.txt</t>
  </si>
  <si>
    <t>rc103.txt</t>
  </si>
  <si>
    <t>rc104.txt</t>
  </si>
  <si>
    <t>rc105.txt</t>
  </si>
  <si>
    <t>rc106.txt</t>
  </si>
  <si>
    <t>rc107.txt</t>
  </si>
  <si>
    <t>rc108.txt</t>
  </si>
  <si>
    <t>rc201.txt</t>
  </si>
  <si>
    <t>rc202.txt</t>
  </si>
  <si>
    <t>rc203.txt</t>
  </si>
  <si>
    <t>rc204.txt</t>
  </si>
  <si>
    <t>rc205.txt</t>
  </si>
  <si>
    <t>rc206.txt</t>
  </si>
  <si>
    <t>rc207.txt</t>
  </si>
  <si>
    <t>rc208.txt</t>
  </si>
  <si>
    <t>NV</t>
    <phoneticPr fontId="1" type="noConversion"/>
  </si>
  <si>
    <t>baseline實際</t>
    <phoneticPr fontId="1" type="noConversion"/>
  </si>
  <si>
    <t>best known</t>
    <phoneticPr fontId="1" type="noConversion"/>
  </si>
  <si>
    <t>我的方法</t>
    <phoneticPr fontId="1" type="noConversion"/>
  </si>
  <si>
    <r>
      <t>baseline</t>
    </r>
    <r>
      <rPr>
        <b/>
        <sz val="10"/>
        <color theme="1"/>
        <rFont val="微軟正黑體"/>
        <family val="2"/>
        <charset val="136"/>
      </rPr>
      <t>敘述</t>
    </r>
    <phoneticPr fontId="1" type="noConversion"/>
  </si>
  <si>
    <t>BKS Gap(%)</t>
    <phoneticPr fontId="1" type="noConversion"/>
  </si>
  <si>
    <r>
      <t>Baseline</t>
    </r>
    <r>
      <rPr>
        <b/>
        <sz val="10"/>
        <color theme="1"/>
        <rFont val="Microsoft JhengHei"/>
        <family val="2"/>
      </rPr>
      <t>敘述</t>
    </r>
    <r>
      <rPr>
        <b/>
        <sz val="10"/>
        <color theme="1"/>
        <rFont val="Arial"/>
        <family val="2"/>
      </rPr>
      <t xml:space="preserve"> Gap(%)</t>
    </r>
    <phoneticPr fontId="1" type="noConversion"/>
  </si>
  <si>
    <t>WIN</t>
    <phoneticPr fontId="1" type="noConversion"/>
  </si>
  <si>
    <t>TIE</t>
    <phoneticPr fontId="1" type="noConversion"/>
  </si>
  <si>
    <t>LOSE</t>
    <phoneticPr fontId="1" type="noConversion"/>
  </si>
  <si>
    <r>
      <t>Baseline</t>
    </r>
    <r>
      <rPr>
        <b/>
        <sz val="10"/>
        <color theme="1"/>
        <rFont val="微軟正黑體"/>
        <family val="2"/>
        <charset val="136"/>
      </rPr>
      <t>敘述</t>
    </r>
    <r>
      <rPr>
        <b/>
        <sz val="10"/>
        <color theme="1"/>
        <rFont val="Microsoft JhengHei"/>
        <family val="2"/>
      </rPr>
      <t>比較</t>
    </r>
    <phoneticPr fontId="1" type="noConversion"/>
  </si>
  <si>
    <t>Total</t>
    <phoneticPr fontId="1" type="noConversion"/>
  </si>
  <si>
    <r>
      <t>C1</t>
    </r>
    <r>
      <rPr>
        <b/>
        <sz val="10"/>
        <color theme="1"/>
        <rFont val="標楷體"/>
        <family val="4"/>
        <charset val="136"/>
      </rPr>
      <t>類</t>
    </r>
    <phoneticPr fontId="1" type="noConversion"/>
  </si>
  <si>
    <r>
      <t>C2</t>
    </r>
    <r>
      <rPr>
        <b/>
        <sz val="10"/>
        <color theme="1"/>
        <rFont val="標楷體"/>
        <family val="4"/>
        <charset val="136"/>
      </rPr>
      <t>類</t>
    </r>
    <phoneticPr fontId="1" type="noConversion"/>
  </si>
  <si>
    <r>
      <rPr>
        <b/>
        <sz val="10"/>
        <color theme="1"/>
        <rFont val="Times New Roman"/>
        <family val="1"/>
      </rPr>
      <t>R1</t>
    </r>
    <r>
      <rPr>
        <b/>
        <sz val="10"/>
        <color theme="1"/>
        <rFont val="標楷體"/>
        <family val="4"/>
        <charset val="136"/>
      </rPr>
      <t>類</t>
    </r>
    <phoneticPr fontId="1" type="noConversion"/>
  </si>
  <si>
    <r>
      <rPr>
        <b/>
        <sz val="10"/>
        <color theme="1"/>
        <rFont val="Times New Roman"/>
        <family val="1"/>
      </rPr>
      <t>R2</t>
    </r>
    <r>
      <rPr>
        <b/>
        <sz val="10"/>
        <color theme="1"/>
        <rFont val="標楷體"/>
        <family val="4"/>
        <charset val="136"/>
      </rPr>
      <t>類</t>
    </r>
    <phoneticPr fontId="1" type="noConversion"/>
  </si>
  <si>
    <r>
      <rPr>
        <b/>
        <sz val="10"/>
        <color theme="1"/>
        <rFont val="Times New Roman"/>
        <family val="1"/>
      </rPr>
      <t>RC1</t>
    </r>
    <r>
      <rPr>
        <b/>
        <sz val="10"/>
        <color theme="1"/>
        <rFont val="標楷體"/>
        <family val="4"/>
        <charset val="136"/>
      </rPr>
      <t>類</t>
    </r>
    <phoneticPr fontId="1" type="noConversion"/>
  </si>
  <si>
    <r>
      <rPr>
        <b/>
        <sz val="10"/>
        <color theme="1"/>
        <rFont val="Times New Roman"/>
        <family val="1"/>
      </rPr>
      <t>RC2</t>
    </r>
    <r>
      <rPr>
        <b/>
        <sz val="10"/>
        <color theme="1"/>
        <rFont val="標楷體"/>
        <family val="4"/>
        <charset val="136"/>
      </rPr>
      <t>類</t>
    </r>
    <phoneticPr fontId="1" type="noConversion"/>
  </si>
  <si>
    <t>Average</t>
    <phoneticPr fontId="1" type="noConversion"/>
  </si>
  <si>
    <r>
      <rPr>
        <b/>
        <sz val="10"/>
        <color theme="1"/>
        <rFont val="Microsoft JhengHei"/>
        <family val="2"/>
      </rPr>
      <t>我的方法</t>
    </r>
    <r>
      <rPr>
        <b/>
        <sz val="10"/>
        <color theme="1"/>
        <rFont val="Arial"/>
        <family val="2"/>
      </rPr>
      <t>(new)</t>
    </r>
    <phoneticPr fontId="1" type="noConversion"/>
  </si>
  <si>
    <r>
      <t>Baseline</t>
    </r>
    <r>
      <rPr>
        <b/>
        <sz val="10"/>
        <color theme="1"/>
        <rFont val="微軟正黑體"/>
        <family val="2"/>
        <charset val="136"/>
      </rPr>
      <t>敘述</t>
    </r>
    <r>
      <rPr>
        <b/>
        <sz val="10"/>
        <color theme="1"/>
        <rFont val="Microsoft JhengHei"/>
        <family val="2"/>
      </rPr>
      <t>比較(</t>
    </r>
    <r>
      <rPr>
        <b/>
        <sz val="10"/>
        <color theme="1"/>
        <rFont val="Arial"/>
        <family val="2"/>
      </rPr>
      <t>new</t>
    </r>
    <r>
      <rPr>
        <b/>
        <sz val="10"/>
        <color theme="1"/>
        <rFont val="Microsoft JhengHei"/>
        <family val="2"/>
      </rPr>
      <t>)</t>
    </r>
    <phoneticPr fontId="1" type="noConversion"/>
  </si>
  <si>
    <t>New Gap(%)</t>
    <phoneticPr fontId="1" type="noConversion"/>
  </si>
  <si>
    <t>Min L</t>
  </si>
  <si>
    <t>HGA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</si>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</sst>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sz val="11"/>
      <color theme="1"/>
      <name val="新細明體"/>
      <family val="2"/>
      <scheme val="minor"/>
    </font>
    <font>
      <sz val="10"/>
      <color rgb="FFC000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微軟正黑體"/>
      <family val="2"/>
      <charset val="136"/>
    </font>
    <font>
      <b/>
      <sz val="10"/>
      <color theme="1"/>
      <name val="Microsoft JhengHei"/>
      <family val="2"/>
    </font>
    <font>
      <b/>
      <sz val="10"/>
      <color theme="1"/>
      <name val="Times New Roman"/>
      <family val="1"/>
    </font>
    <font>
      <b/>
      <sz val="10"/>
      <color theme="1"/>
      <name val="標楷體"/>
      <family val="4"/>
      <charset val="136"/>
    </font>
    <font>
      <b/>
      <sz val="10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5">
    <xf numFmtId="0" fontId="0" fillId="0" borderId="0" xfId="0">
      <alignment vertical="center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right" wrapText="1"/>
    </xf>
    <xf numFmtId="0" fontId="10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</cellXfs>
  <cellStyles count="2">
    <cellStyle name="一般" xfId="0" builtinId="0"/>
    <cellStyle name="一般 2" xfId="1" xr:uid="{6E9460ED-A07C-4357-B0FD-26F5286E7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5DF5-0F01-4635-876C-42C0D830CD54}">
  <dimension ref="A1:W71"/>
  <sheetViews>
    <sheetView tabSelected="1" zoomScale="85" zoomScaleNormal="85" workbookViewId="0">
      <pane xSplit="23" ySplit="5" topLeftCell="X25" activePane="bottomRight" state="frozen"/>
      <selection pane="topRight" activeCell="T1" sqref="T1"/>
      <selection pane="bottomLeft" activeCell="A6" sqref="A6"/>
      <selection pane="bottomRight" activeCell="L37" sqref="L37:Q37"/>
    </sheetView>
  </sheetViews>
  <sheetFormatPr defaultRowHeight="16.5" outlineLevelRow="1"/>
  <cols>
    <col min="1" max="1" width="11.875" customWidth="1"/>
    <col min="2" max="2" width="5.5" bestFit="1" customWidth="1"/>
    <col min="3" max="3" width="8.5" bestFit="1" customWidth="1"/>
    <col min="4" max="4" width="5.5" bestFit="1" customWidth="1"/>
    <col min="5" max="5" width="8.625" customWidth="1"/>
    <col min="6" max="6" width="6.25" customWidth="1"/>
    <col min="7" max="7" width="7.875" bestFit="1" customWidth="1"/>
    <col min="8" max="8" width="5.25" customWidth="1"/>
    <col min="9" max="9" width="7.875" customWidth="1"/>
    <col min="10" max="10" width="5.25" customWidth="1"/>
    <col min="12" max="12" width="8.125" bestFit="1" customWidth="1"/>
    <col min="14" max="14" width="6.375" bestFit="1" customWidth="1"/>
    <col min="15" max="15" width="9.625" customWidth="1"/>
    <col min="16" max="16" width="8.125" bestFit="1" customWidth="1"/>
  </cols>
  <sheetData>
    <row r="1" spans="1:23" ht="17.25" customHeight="1" thickBot="1">
      <c r="A1" s="4"/>
      <c r="B1" s="18" t="s">
        <v>59</v>
      </c>
      <c r="C1" s="19"/>
      <c r="D1" s="18" t="s">
        <v>62</v>
      </c>
      <c r="E1" s="19"/>
      <c r="F1" s="24" t="s">
        <v>61</v>
      </c>
      <c r="G1" s="19"/>
      <c r="H1" s="18" t="s">
        <v>77</v>
      </c>
      <c r="I1" s="19"/>
      <c r="J1" s="18" t="s">
        <v>60</v>
      </c>
      <c r="K1" s="19"/>
      <c r="L1" s="18" t="s">
        <v>64</v>
      </c>
      <c r="M1" s="19"/>
      <c r="N1" s="18" t="s">
        <v>79</v>
      </c>
      <c r="O1" s="19"/>
      <c r="P1" s="18" t="s">
        <v>63</v>
      </c>
      <c r="Q1" s="19"/>
      <c r="R1" s="18" t="s">
        <v>68</v>
      </c>
      <c r="S1" s="20"/>
      <c r="T1" s="20"/>
      <c r="U1" s="18" t="s">
        <v>78</v>
      </c>
      <c r="V1" s="20"/>
      <c r="W1" s="20"/>
    </row>
    <row r="2" spans="1:23" ht="17.25" thickBot="1">
      <c r="A2" s="5" t="s">
        <v>1</v>
      </c>
      <c r="B2" s="1" t="s">
        <v>58</v>
      </c>
      <c r="C2" s="1" t="s">
        <v>0</v>
      </c>
      <c r="D2" s="1" t="s">
        <v>58</v>
      </c>
      <c r="E2" s="1" t="s">
        <v>0</v>
      </c>
      <c r="F2" s="1" t="s">
        <v>58</v>
      </c>
      <c r="G2" s="1" t="s">
        <v>0</v>
      </c>
      <c r="H2" s="1" t="s">
        <v>58</v>
      </c>
      <c r="I2" s="1" t="s">
        <v>0</v>
      </c>
      <c r="J2" s="1" t="s">
        <v>58</v>
      </c>
      <c r="K2" s="1" t="s">
        <v>0</v>
      </c>
      <c r="L2" s="1" t="s">
        <v>58</v>
      </c>
      <c r="M2" s="1" t="s">
        <v>0</v>
      </c>
      <c r="N2" s="1" t="s">
        <v>58</v>
      </c>
      <c r="O2" s="1" t="s">
        <v>0</v>
      </c>
      <c r="P2" s="1" t="s">
        <v>58</v>
      </c>
      <c r="Q2" s="1" t="s">
        <v>0</v>
      </c>
      <c r="R2" s="1" t="s">
        <v>65</v>
      </c>
      <c r="S2" s="1" t="s">
        <v>66</v>
      </c>
      <c r="T2" s="1" t="s">
        <v>67</v>
      </c>
      <c r="U2" s="1" t="s">
        <v>65</v>
      </c>
      <c r="V2" s="1" t="s">
        <v>66</v>
      </c>
      <c r="W2" s="1" t="s">
        <v>67</v>
      </c>
    </row>
    <row r="3" spans="1:23" ht="17.25" thickBot="1">
      <c r="A3" s="6" t="s">
        <v>70</v>
      </c>
      <c r="B3" s="21" t="str">
        <f>COUNTA(A4:A12) &amp; " 筆"</f>
        <v>9 筆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3"/>
      <c r="R3" s="1">
        <v>4</v>
      </c>
      <c r="S3" s="1">
        <v>5</v>
      </c>
      <c r="T3" s="1">
        <v>0</v>
      </c>
      <c r="U3" s="1">
        <v>4</v>
      </c>
      <c r="V3" s="1">
        <v>5</v>
      </c>
      <c r="W3" s="1">
        <v>0</v>
      </c>
    </row>
    <row r="4" spans="1:23" ht="17.25" customHeight="1" outlineLevel="1" thickBot="1">
      <c r="A4" s="6" t="s">
        <v>2</v>
      </c>
      <c r="B4" s="1">
        <v>10</v>
      </c>
      <c r="C4" s="1">
        <v>833.24</v>
      </c>
      <c r="D4" s="1">
        <v>10</v>
      </c>
      <c r="E4" s="1">
        <v>828.94</v>
      </c>
      <c r="F4" s="7">
        <v>10</v>
      </c>
      <c r="G4" s="7">
        <v>828.94</v>
      </c>
      <c r="H4" s="7">
        <v>10</v>
      </c>
      <c r="I4" s="7">
        <v>828.94</v>
      </c>
      <c r="J4" s="1">
        <v>10</v>
      </c>
      <c r="K4" s="1">
        <v>828.94</v>
      </c>
      <c r="L4" s="1">
        <f t="shared" ref="L4:L12" si="0">ROUND(((F4-D4)/D4)*100,2)</f>
        <v>0</v>
      </c>
      <c r="M4" s="1">
        <f t="shared" ref="M4:M12" si="1">ROUND(((G4-E4)/E4)*100,2)</f>
        <v>0</v>
      </c>
      <c r="N4" s="1">
        <f>ROUND(((H4-D4)/D4)*100,2)</f>
        <v>0</v>
      </c>
      <c r="O4" s="1">
        <f>ROUND(((I4-E4)/E4)*100,2)</f>
        <v>0</v>
      </c>
      <c r="P4" s="1">
        <f t="shared" ref="P4:P12" si="2">ROUND(((F4-J4)/J4)*100,2)</f>
        <v>0</v>
      </c>
      <c r="Q4" s="1">
        <f t="shared" ref="Q4:Q12" si="3">ROUND(((G4-K4)/K4)*100,2)</f>
        <v>0</v>
      </c>
      <c r="R4" s="9"/>
      <c r="S4" s="10"/>
      <c r="T4" s="11"/>
      <c r="U4" s="9"/>
      <c r="V4" s="10"/>
      <c r="W4" s="11"/>
    </row>
    <row r="5" spans="1:23" ht="17.25" customHeight="1" outlineLevel="1" thickBot="1">
      <c r="A5" s="6" t="s">
        <v>3</v>
      </c>
      <c r="B5" s="1">
        <v>10</v>
      </c>
      <c r="C5" s="1">
        <v>939.03</v>
      </c>
      <c r="D5" s="1">
        <v>10</v>
      </c>
      <c r="E5" s="1">
        <v>828.94</v>
      </c>
      <c r="F5" s="7">
        <v>10</v>
      </c>
      <c r="G5" s="7">
        <v>828.94</v>
      </c>
      <c r="H5" s="7">
        <v>10</v>
      </c>
      <c r="I5" s="7">
        <v>828.94</v>
      </c>
      <c r="J5" s="1">
        <v>10</v>
      </c>
      <c r="K5" s="1">
        <v>828.94</v>
      </c>
      <c r="L5" s="1">
        <f t="shared" si="0"/>
        <v>0</v>
      </c>
      <c r="M5" s="1">
        <f t="shared" si="1"/>
        <v>0</v>
      </c>
      <c r="N5" s="1">
        <f t="shared" ref="N5:N68" si="4">ROUND(((H5-D5)/D5)*100,2)</f>
        <v>0</v>
      </c>
      <c r="O5" s="1">
        <f t="shared" ref="O5:O68" si="5">ROUND(((I5-E5)/E5)*100,2)</f>
        <v>0</v>
      </c>
      <c r="P5" s="1">
        <f t="shared" si="2"/>
        <v>0</v>
      </c>
      <c r="Q5" s="1">
        <f t="shared" si="3"/>
        <v>0</v>
      </c>
      <c r="R5" s="12"/>
      <c r="S5" s="13"/>
      <c r="T5" s="14"/>
      <c r="U5" s="12"/>
      <c r="V5" s="13"/>
      <c r="W5" s="14"/>
    </row>
    <row r="6" spans="1:23" ht="17.25" customHeight="1" outlineLevel="1" thickBot="1">
      <c r="A6" s="6" t="s">
        <v>4</v>
      </c>
      <c r="B6" s="1">
        <v>10</v>
      </c>
      <c r="C6" s="1">
        <v>869.97</v>
      </c>
      <c r="D6" s="1">
        <v>10</v>
      </c>
      <c r="E6" s="1">
        <v>830.77</v>
      </c>
      <c r="F6" s="2">
        <v>10</v>
      </c>
      <c r="G6" s="2">
        <v>828.06</v>
      </c>
      <c r="H6" s="2">
        <v>10</v>
      </c>
      <c r="I6" s="2">
        <v>828.06</v>
      </c>
      <c r="J6" s="1">
        <v>10</v>
      </c>
      <c r="K6" s="1">
        <v>828.06</v>
      </c>
      <c r="L6" s="1">
        <f t="shared" si="0"/>
        <v>0</v>
      </c>
      <c r="M6" s="1">
        <f t="shared" si="1"/>
        <v>-0.33</v>
      </c>
      <c r="N6" s="1">
        <f t="shared" si="4"/>
        <v>0</v>
      </c>
      <c r="O6" s="1">
        <f t="shared" si="5"/>
        <v>-0.33</v>
      </c>
      <c r="P6" s="1">
        <f t="shared" si="2"/>
        <v>0</v>
      </c>
      <c r="Q6" s="1">
        <f t="shared" si="3"/>
        <v>0</v>
      </c>
      <c r="R6" s="12"/>
      <c r="S6" s="13"/>
      <c r="T6" s="14"/>
      <c r="U6" s="12"/>
      <c r="V6" s="13"/>
      <c r="W6" s="14"/>
    </row>
    <row r="7" spans="1:23" ht="17.25" customHeight="1" outlineLevel="1" thickBot="1">
      <c r="A7" s="6" t="s">
        <v>5</v>
      </c>
      <c r="B7" s="1">
        <v>10</v>
      </c>
      <c r="C7" s="1">
        <v>873.66</v>
      </c>
      <c r="D7" s="1">
        <v>10</v>
      </c>
      <c r="E7" s="1">
        <v>864.22</v>
      </c>
      <c r="F7" s="2">
        <v>10</v>
      </c>
      <c r="G7" s="2">
        <v>824.78</v>
      </c>
      <c r="H7" s="2">
        <v>10</v>
      </c>
      <c r="I7" s="2">
        <v>826.37</v>
      </c>
      <c r="J7" s="1">
        <v>10</v>
      </c>
      <c r="K7" s="1">
        <v>824.78</v>
      </c>
      <c r="L7" s="1">
        <f t="shared" si="0"/>
        <v>0</v>
      </c>
      <c r="M7" s="1">
        <f t="shared" si="1"/>
        <v>-4.5599999999999996</v>
      </c>
      <c r="N7" s="1">
        <f t="shared" si="4"/>
        <v>0</v>
      </c>
      <c r="O7" s="1">
        <f t="shared" si="5"/>
        <v>-4.38</v>
      </c>
      <c r="P7" s="1">
        <f t="shared" si="2"/>
        <v>0</v>
      </c>
      <c r="Q7" s="1">
        <f t="shared" si="3"/>
        <v>0</v>
      </c>
      <c r="R7" s="12"/>
      <c r="S7" s="13"/>
      <c r="T7" s="14"/>
      <c r="U7" s="12"/>
      <c r="V7" s="13"/>
      <c r="W7" s="14"/>
    </row>
    <row r="8" spans="1:23" ht="17.25" customHeight="1" outlineLevel="1" thickBot="1">
      <c r="A8" s="6" t="s">
        <v>6</v>
      </c>
      <c r="B8" s="1">
        <v>10</v>
      </c>
      <c r="C8" s="1">
        <v>828.94</v>
      </c>
      <c r="D8" s="1">
        <v>10</v>
      </c>
      <c r="E8" s="1">
        <v>828.94</v>
      </c>
      <c r="F8" s="7">
        <v>10</v>
      </c>
      <c r="G8" s="7">
        <v>828.94</v>
      </c>
      <c r="H8" s="7">
        <v>10</v>
      </c>
      <c r="I8" s="7">
        <v>828.94</v>
      </c>
      <c r="J8" s="1">
        <v>10</v>
      </c>
      <c r="K8" s="1">
        <v>828.94</v>
      </c>
      <c r="L8" s="1">
        <f t="shared" si="0"/>
        <v>0</v>
      </c>
      <c r="M8" s="1">
        <f t="shared" si="1"/>
        <v>0</v>
      </c>
      <c r="N8" s="1">
        <f t="shared" si="4"/>
        <v>0</v>
      </c>
      <c r="O8" s="1">
        <f t="shared" si="5"/>
        <v>0</v>
      </c>
      <c r="P8" s="1">
        <f t="shared" si="2"/>
        <v>0</v>
      </c>
      <c r="Q8" s="1">
        <f t="shared" si="3"/>
        <v>0</v>
      </c>
      <c r="R8" s="12"/>
      <c r="S8" s="13"/>
      <c r="T8" s="14"/>
      <c r="U8" s="12"/>
      <c r="V8" s="13"/>
      <c r="W8" s="14"/>
    </row>
    <row r="9" spans="1:23" ht="17.25" customHeight="1" outlineLevel="1" thickBot="1">
      <c r="A9" s="6" t="s">
        <v>7</v>
      </c>
      <c r="B9" s="1">
        <v>10</v>
      </c>
      <c r="C9" s="1">
        <v>828.94</v>
      </c>
      <c r="D9" s="1">
        <v>10</v>
      </c>
      <c r="E9" s="1">
        <v>828.94</v>
      </c>
      <c r="F9" s="7">
        <v>10</v>
      </c>
      <c r="G9" s="7">
        <v>828.94</v>
      </c>
      <c r="H9" s="7">
        <v>10</v>
      </c>
      <c r="I9" s="7">
        <v>828.94</v>
      </c>
      <c r="J9" s="1">
        <v>10</v>
      </c>
      <c r="K9" s="1">
        <v>828.94</v>
      </c>
      <c r="L9" s="1">
        <f t="shared" si="0"/>
        <v>0</v>
      </c>
      <c r="M9" s="1">
        <f t="shared" si="1"/>
        <v>0</v>
      </c>
      <c r="N9" s="1">
        <f t="shared" si="4"/>
        <v>0</v>
      </c>
      <c r="O9" s="1">
        <f t="shared" si="5"/>
        <v>0</v>
      </c>
      <c r="P9" s="1">
        <f t="shared" si="2"/>
        <v>0</v>
      </c>
      <c r="Q9" s="1">
        <f t="shared" si="3"/>
        <v>0</v>
      </c>
      <c r="R9" s="12"/>
      <c r="S9" s="13"/>
      <c r="T9" s="14"/>
      <c r="U9" s="12"/>
      <c r="V9" s="13"/>
      <c r="W9" s="14"/>
    </row>
    <row r="10" spans="1:23" ht="17.25" customHeight="1" outlineLevel="1" thickBot="1">
      <c r="A10" s="6" t="s">
        <v>8</v>
      </c>
      <c r="B10" s="1">
        <v>10</v>
      </c>
      <c r="C10" s="1">
        <v>828.94</v>
      </c>
      <c r="D10" s="1">
        <v>10</v>
      </c>
      <c r="E10" s="1">
        <v>828.94</v>
      </c>
      <c r="F10" s="7">
        <v>10</v>
      </c>
      <c r="G10" s="7">
        <v>828.94</v>
      </c>
      <c r="H10" s="7">
        <v>10</v>
      </c>
      <c r="I10" s="7">
        <v>828.94</v>
      </c>
      <c r="J10" s="1">
        <v>10</v>
      </c>
      <c r="K10" s="1">
        <v>828.94</v>
      </c>
      <c r="L10" s="1">
        <f t="shared" si="0"/>
        <v>0</v>
      </c>
      <c r="M10" s="1">
        <f t="shared" si="1"/>
        <v>0</v>
      </c>
      <c r="N10" s="1">
        <f t="shared" si="4"/>
        <v>0</v>
      </c>
      <c r="O10" s="1">
        <f t="shared" si="5"/>
        <v>0</v>
      </c>
      <c r="P10" s="1">
        <f t="shared" si="2"/>
        <v>0</v>
      </c>
      <c r="Q10" s="1">
        <f t="shared" si="3"/>
        <v>0</v>
      </c>
      <c r="R10" s="12"/>
      <c r="S10" s="13"/>
      <c r="T10" s="14"/>
      <c r="U10" s="12"/>
      <c r="V10" s="13"/>
      <c r="W10" s="14"/>
    </row>
    <row r="11" spans="1:23" ht="17.25" customHeight="1" outlineLevel="1" thickBot="1">
      <c r="A11" s="6" t="s">
        <v>9</v>
      </c>
      <c r="B11" s="1">
        <v>10</v>
      </c>
      <c r="C11" s="1">
        <v>829.61</v>
      </c>
      <c r="D11" s="1">
        <v>10</v>
      </c>
      <c r="E11" s="1">
        <v>854.31</v>
      </c>
      <c r="F11" s="2">
        <v>10</v>
      </c>
      <c r="G11" s="2">
        <v>828.94</v>
      </c>
      <c r="H11" s="2">
        <v>10</v>
      </c>
      <c r="I11" s="2">
        <v>828.94</v>
      </c>
      <c r="J11" s="1">
        <v>10</v>
      </c>
      <c r="K11" s="1">
        <v>828.94</v>
      </c>
      <c r="L11" s="1">
        <f t="shared" si="0"/>
        <v>0</v>
      </c>
      <c r="M11" s="1">
        <f t="shared" si="1"/>
        <v>-2.97</v>
      </c>
      <c r="N11" s="1">
        <f t="shared" si="4"/>
        <v>0</v>
      </c>
      <c r="O11" s="1">
        <f t="shared" si="5"/>
        <v>-2.97</v>
      </c>
      <c r="P11" s="1">
        <f t="shared" si="2"/>
        <v>0</v>
      </c>
      <c r="Q11" s="1">
        <f t="shared" si="3"/>
        <v>0</v>
      </c>
      <c r="R11" s="12"/>
      <c r="S11" s="13"/>
      <c r="T11" s="14"/>
      <c r="U11" s="12"/>
      <c r="V11" s="13"/>
      <c r="W11" s="14"/>
    </row>
    <row r="12" spans="1:23" ht="17.25" customHeight="1" outlineLevel="1" thickBot="1">
      <c r="A12" s="6" t="s">
        <v>10</v>
      </c>
      <c r="B12" s="1">
        <v>10</v>
      </c>
      <c r="C12" s="1">
        <v>902.19</v>
      </c>
      <c r="D12" s="1">
        <v>10</v>
      </c>
      <c r="E12" s="1">
        <v>854.78</v>
      </c>
      <c r="F12" s="2">
        <v>10</v>
      </c>
      <c r="G12" s="2">
        <v>828.94</v>
      </c>
      <c r="H12" s="2">
        <v>10</v>
      </c>
      <c r="I12" s="2">
        <v>828.94</v>
      </c>
      <c r="J12" s="1">
        <v>10</v>
      </c>
      <c r="K12" s="1">
        <v>828.94</v>
      </c>
      <c r="L12" s="1">
        <f t="shared" si="0"/>
        <v>0</v>
      </c>
      <c r="M12" s="1">
        <f t="shared" si="1"/>
        <v>-3.02</v>
      </c>
      <c r="N12" s="1">
        <f t="shared" si="4"/>
        <v>0</v>
      </c>
      <c r="O12" s="1">
        <f t="shared" si="5"/>
        <v>-3.02</v>
      </c>
      <c r="P12" s="1">
        <f t="shared" si="2"/>
        <v>0</v>
      </c>
      <c r="Q12" s="1">
        <f t="shared" si="3"/>
        <v>0</v>
      </c>
      <c r="R12" s="12"/>
      <c r="S12" s="13"/>
      <c r="T12" s="14"/>
      <c r="U12" s="12"/>
      <c r="V12" s="13"/>
      <c r="W12" s="14"/>
    </row>
    <row r="13" spans="1:23" ht="17.25" customHeight="1" outlineLevel="1" thickBot="1">
      <c r="A13" s="6" t="s">
        <v>76</v>
      </c>
      <c r="B13" s="1">
        <f>SUM(B4:B12)/COUNTA(B4:B12)</f>
        <v>10</v>
      </c>
      <c r="C13" s="1">
        <f t="shared" ref="C13:K13" si="6">SUM(C4:C12)/COUNTA(C4:C12)</f>
        <v>859.39111111111117</v>
      </c>
      <c r="D13" s="1">
        <f t="shared" si="6"/>
        <v>10</v>
      </c>
      <c r="E13" s="1">
        <f t="shared" si="6"/>
        <v>838.75333333333333</v>
      </c>
      <c r="F13" s="1">
        <f t="shared" si="6"/>
        <v>10</v>
      </c>
      <c r="G13" s="1">
        <f t="shared" si="6"/>
        <v>828.38000000000022</v>
      </c>
      <c r="H13" s="1">
        <f t="shared" si="6"/>
        <v>10</v>
      </c>
      <c r="I13" s="1">
        <f t="shared" si="6"/>
        <v>828.55666666666684</v>
      </c>
      <c r="J13" s="1">
        <f t="shared" si="6"/>
        <v>10</v>
      </c>
      <c r="K13" s="1">
        <f t="shared" si="6"/>
        <v>828.38000000000022</v>
      </c>
      <c r="L13" s="21"/>
      <c r="M13" s="22"/>
      <c r="N13" s="22"/>
      <c r="O13" s="22"/>
      <c r="P13" s="22"/>
      <c r="Q13" s="23"/>
      <c r="R13" s="15"/>
      <c r="S13" s="16"/>
      <c r="T13" s="17"/>
      <c r="U13" s="15"/>
      <c r="V13" s="16"/>
      <c r="W13" s="17"/>
    </row>
    <row r="14" spans="1:23" ht="17.25" customHeight="1" thickBot="1">
      <c r="A14" s="6" t="s">
        <v>71</v>
      </c>
      <c r="B14" s="21" t="str">
        <f>COUNTA(A15:A22) &amp; " 筆"</f>
        <v>8 筆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3"/>
      <c r="R14" s="1">
        <v>1</v>
      </c>
      <c r="S14" s="1">
        <v>7</v>
      </c>
      <c r="T14" s="1">
        <v>0</v>
      </c>
      <c r="U14" s="1">
        <v>1</v>
      </c>
      <c r="V14" s="1">
        <v>7</v>
      </c>
      <c r="W14" s="1">
        <v>0</v>
      </c>
    </row>
    <row r="15" spans="1:23" ht="17.25" customHeight="1" outlineLevel="1" thickBot="1">
      <c r="A15" s="6" t="s">
        <v>11</v>
      </c>
      <c r="B15" s="1">
        <v>3</v>
      </c>
      <c r="C15" s="1">
        <v>591.55999999999995</v>
      </c>
      <c r="D15" s="1">
        <v>3</v>
      </c>
      <c r="E15" s="1">
        <v>591.55999999999995</v>
      </c>
      <c r="F15" s="7">
        <v>3</v>
      </c>
      <c r="G15" s="7">
        <v>591.55999999999995</v>
      </c>
      <c r="H15" s="7">
        <v>3</v>
      </c>
      <c r="I15" s="7">
        <v>591.55999999999995</v>
      </c>
      <c r="J15" s="1">
        <v>3</v>
      </c>
      <c r="K15" s="1">
        <v>591.55999999999995</v>
      </c>
      <c r="L15" s="1">
        <f t="shared" ref="L15:M22" si="7">ROUND(((F15-D15)/D15)*100,2)</f>
        <v>0</v>
      </c>
      <c r="M15" s="1">
        <f t="shared" si="7"/>
        <v>0</v>
      </c>
      <c r="N15" s="1">
        <f t="shared" si="4"/>
        <v>0</v>
      </c>
      <c r="O15" s="1">
        <f t="shared" si="5"/>
        <v>0</v>
      </c>
      <c r="P15" s="1">
        <f t="shared" ref="P15:Q22" si="8">ROUND(((F15-J15)/J15)*100,2)</f>
        <v>0</v>
      </c>
      <c r="Q15" s="1">
        <f t="shared" si="8"/>
        <v>0</v>
      </c>
      <c r="R15" s="9"/>
      <c r="S15" s="10"/>
      <c r="T15" s="11"/>
      <c r="U15" s="9"/>
      <c r="V15" s="10"/>
      <c r="W15" s="11"/>
    </row>
    <row r="16" spans="1:23" ht="17.25" customHeight="1" outlineLevel="1" thickBot="1">
      <c r="A16" s="6" t="s">
        <v>12</v>
      </c>
      <c r="B16" s="1">
        <v>3</v>
      </c>
      <c r="C16" s="1">
        <v>591.55999999999995</v>
      </c>
      <c r="D16" s="1">
        <v>3</v>
      </c>
      <c r="E16" s="1">
        <v>591.55999999999995</v>
      </c>
      <c r="F16" s="7">
        <v>3</v>
      </c>
      <c r="G16" s="7">
        <v>591.55999999999995</v>
      </c>
      <c r="H16" s="7">
        <v>3</v>
      </c>
      <c r="I16" s="7">
        <v>591.55999999999995</v>
      </c>
      <c r="J16" s="1">
        <v>3</v>
      </c>
      <c r="K16" s="1">
        <v>591.55999999999995</v>
      </c>
      <c r="L16" s="1">
        <f t="shared" si="7"/>
        <v>0</v>
      </c>
      <c r="M16" s="1">
        <f t="shared" si="7"/>
        <v>0</v>
      </c>
      <c r="N16" s="1">
        <f t="shared" si="4"/>
        <v>0</v>
      </c>
      <c r="O16" s="1">
        <f t="shared" si="5"/>
        <v>0</v>
      </c>
      <c r="P16" s="1">
        <f t="shared" si="8"/>
        <v>0</v>
      </c>
      <c r="Q16" s="1">
        <f t="shared" si="8"/>
        <v>0</v>
      </c>
      <c r="R16" s="12"/>
      <c r="S16" s="13"/>
      <c r="T16" s="14"/>
      <c r="U16" s="12"/>
      <c r="V16" s="13"/>
      <c r="W16" s="14"/>
    </row>
    <row r="17" spans="1:23" ht="17.25" customHeight="1" outlineLevel="1" thickBot="1">
      <c r="A17" s="6" t="s">
        <v>13</v>
      </c>
      <c r="B17" s="1">
        <v>3</v>
      </c>
      <c r="C17" s="1">
        <v>621.30999999999995</v>
      </c>
      <c r="D17" s="1">
        <v>3</v>
      </c>
      <c r="E17" s="1">
        <v>591.16999999999996</v>
      </c>
      <c r="F17" s="7">
        <v>3</v>
      </c>
      <c r="G17" s="7">
        <v>591.16999999999996</v>
      </c>
      <c r="H17" s="7">
        <v>3</v>
      </c>
      <c r="I17" s="7">
        <v>591.16999999999996</v>
      </c>
      <c r="J17" s="1">
        <v>3</v>
      </c>
      <c r="K17" s="1">
        <v>591.16999999999996</v>
      </c>
      <c r="L17" s="1">
        <f t="shared" si="7"/>
        <v>0</v>
      </c>
      <c r="M17" s="1">
        <f t="shared" si="7"/>
        <v>0</v>
      </c>
      <c r="N17" s="1">
        <f t="shared" si="4"/>
        <v>0</v>
      </c>
      <c r="O17" s="1">
        <f t="shared" si="5"/>
        <v>0</v>
      </c>
      <c r="P17" s="1">
        <f t="shared" si="8"/>
        <v>0</v>
      </c>
      <c r="Q17" s="1">
        <f t="shared" si="8"/>
        <v>0</v>
      </c>
      <c r="R17" s="12"/>
      <c r="S17" s="13"/>
      <c r="T17" s="14"/>
      <c r="U17" s="12"/>
      <c r="V17" s="13"/>
      <c r="W17" s="14"/>
    </row>
    <row r="18" spans="1:23" ht="17.25" customHeight="1" outlineLevel="1" thickBot="1">
      <c r="A18" s="6" t="s">
        <v>14</v>
      </c>
      <c r="B18" s="1">
        <v>3</v>
      </c>
      <c r="C18" s="1">
        <v>639.92999999999995</v>
      </c>
      <c r="D18" s="1">
        <v>3</v>
      </c>
      <c r="E18" s="1">
        <v>594.51</v>
      </c>
      <c r="F18" s="2">
        <v>3</v>
      </c>
      <c r="G18" s="2">
        <v>593.92999999999995</v>
      </c>
      <c r="H18" s="2">
        <v>3</v>
      </c>
      <c r="I18" s="2">
        <v>593.92999999999995</v>
      </c>
      <c r="J18" s="1">
        <v>3</v>
      </c>
      <c r="K18" s="1">
        <v>590.6</v>
      </c>
      <c r="L18" s="1">
        <f t="shared" si="7"/>
        <v>0</v>
      </c>
      <c r="M18" s="1">
        <f t="shared" si="7"/>
        <v>-0.1</v>
      </c>
      <c r="N18" s="1">
        <f t="shared" si="4"/>
        <v>0</v>
      </c>
      <c r="O18" s="1">
        <f t="shared" si="5"/>
        <v>-0.1</v>
      </c>
      <c r="P18" s="1">
        <f t="shared" si="8"/>
        <v>0</v>
      </c>
      <c r="Q18" s="1">
        <f t="shared" si="8"/>
        <v>0.56000000000000005</v>
      </c>
      <c r="R18" s="12"/>
      <c r="S18" s="13"/>
      <c r="T18" s="14"/>
      <c r="U18" s="12"/>
      <c r="V18" s="13"/>
      <c r="W18" s="14"/>
    </row>
    <row r="19" spans="1:23" ht="17.25" customHeight="1" outlineLevel="1" thickBot="1">
      <c r="A19" s="6" t="s">
        <v>15</v>
      </c>
      <c r="B19" s="1">
        <v>4</v>
      </c>
      <c r="C19" s="1">
        <v>638.4</v>
      </c>
      <c r="D19" s="1">
        <v>3</v>
      </c>
      <c r="E19" s="1">
        <v>588.88</v>
      </c>
      <c r="F19" s="7">
        <v>3</v>
      </c>
      <c r="G19" s="7">
        <v>588.88</v>
      </c>
      <c r="H19" s="7">
        <v>3</v>
      </c>
      <c r="I19" s="7">
        <v>588.88</v>
      </c>
      <c r="J19" s="1">
        <v>3</v>
      </c>
      <c r="K19" s="1">
        <v>588.85</v>
      </c>
      <c r="L19" s="1">
        <f t="shared" si="7"/>
        <v>0</v>
      </c>
      <c r="M19" s="1">
        <f t="shared" si="7"/>
        <v>0</v>
      </c>
      <c r="N19" s="1">
        <f t="shared" si="4"/>
        <v>0</v>
      </c>
      <c r="O19" s="1">
        <f t="shared" si="5"/>
        <v>0</v>
      </c>
      <c r="P19" s="1">
        <f t="shared" si="8"/>
        <v>0</v>
      </c>
      <c r="Q19" s="1">
        <f t="shared" si="8"/>
        <v>0.01</v>
      </c>
      <c r="R19" s="12"/>
      <c r="S19" s="13"/>
      <c r="T19" s="14"/>
      <c r="U19" s="12"/>
      <c r="V19" s="13"/>
      <c r="W19" s="14"/>
    </row>
    <row r="20" spans="1:23" ht="17.25" customHeight="1" outlineLevel="1" thickBot="1">
      <c r="A20" s="6" t="s">
        <v>16</v>
      </c>
      <c r="B20" s="1">
        <v>3</v>
      </c>
      <c r="C20" s="1">
        <v>637.19000000000005</v>
      </c>
      <c r="D20" s="1">
        <v>3</v>
      </c>
      <c r="E20" s="1">
        <v>588.49</v>
      </c>
      <c r="F20" s="7">
        <v>3</v>
      </c>
      <c r="G20" s="7">
        <v>588.49</v>
      </c>
      <c r="H20" s="7">
        <v>3</v>
      </c>
      <c r="I20" s="7">
        <v>588.49</v>
      </c>
      <c r="J20" s="1">
        <v>3</v>
      </c>
      <c r="K20" s="1">
        <v>588.49</v>
      </c>
      <c r="L20" s="1">
        <f t="shared" si="7"/>
        <v>0</v>
      </c>
      <c r="M20" s="1">
        <f t="shared" si="7"/>
        <v>0</v>
      </c>
      <c r="N20" s="1">
        <f t="shared" si="4"/>
        <v>0</v>
      </c>
      <c r="O20" s="1">
        <f t="shared" si="5"/>
        <v>0</v>
      </c>
      <c r="P20" s="1">
        <f t="shared" si="8"/>
        <v>0</v>
      </c>
      <c r="Q20" s="1">
        <f t="shared" si="8"/>
        <v>0</v>
      </c>
      <c r="R20" s="12"/>
      <c r="S20" s="13"/>
      <c r="T20" s="14"/>
      <c r="U20" s="12"/>
      <c r="V20" s="13"/>
      <c r="W20" s="14"/>
    </row>
    <row r="21" spans="1:23" ht="17.25" customHeight="1" outlineLevel="1" thickBot="1">
      <c r="A21" s="6" t="s">
        <v>17</v>
      </c>
      <c r="B21" s="1">
        <v>3</v>
      </c>
      <c r="C21" s="1">
        <v>732.1</v>
      </c>
      <c r="D21" s="1">
        <v>3</v>
      </c>
      <c r="E21" s="1">
        <v>588.29</v>
      </c>
      <c r="F21" s="7">
        <v>3</v>
      </c>
      <c r="G21" s="7">
        <v>588.29</v>
      </c>
      <c r="H21" s="7">
        <v>3</v>
      </c>
      <c r="I21" s="7">
        <v>588.29</v>
      </c>
      <c r="J21" s="1">
        <v>3</v>
      </c>
      <c r="K21" s="1">
        <v>588.29</v>
      </c>
      <c r="L21" s="1">
        <f t="shared" si="7"/>
        <v>0</v>
      </c>
      <c r="M21" s="1">
        <f t="shared" si="7"/>
        <v>0</v>
      </c>
      <c r="N21" s="1">
        <f t="shared" si="4"/>
        <v>0</v>
      </c>
      <c r="O21" s="1">
        <f t="shared" si="5"/>
        <v>0</v>
      </c>
      <c r="P21" s="1">
        <f t="shared" si="8"/>
        <v>0</v>
      </c>
      <c r="Q21" s="1">
        <f t="shared" si="8"/>
        <v>0</v>
      </c>
      <c r="R21" s="12"/>
      <c r="S21" s="13"/>
      <c r="T21" s="14"/>
      <c r="U21" s="12"/>
      <c r="V21" s="13"/>
      <c r="W21" s="14"/>
    </row>
    <row r="22" spans="1:23" ht="17.25" customHeight="1" outlineLevel="1" thickBot="1">
      <c r="A22" s="6" t="s">
        <v>18</v>
      </c>
      <c r="B22" s="1">
        <v>3</v>
      </c>
      <c r="C22" s="1">
        <v>606.83000000000004</v>
      </c>
      <c r="D22" s="1">
        <v>3</v>
      </c>
      <c r="E22" s="1">
        <v>588.32000000000005</v>
      </c>
      <c r="F22" s="7">
        <v>3</v>
      </c>
      <c r="G22" s="7">
        <v>588.32000000000005</v>
      </c>
      <c r="H22" s="7">
        <v>3</v>
      </c>
      <c r="I22" s="7">
        <v>588.32000000000005</v>
      </c>
      <c r="J22" s="1">
        <v>3</v>
      </c>
      <c r="K22" s="1">
        <v>588.32000000000005</v>
      </c>
      <c r="L22" s="1">
        <f t="shared" si="7"/>
        <v>0</v>
      </c>
      <c r="M22" s="1">
        <f t="shared" si="7"/>
        <v>0</v>
      </c>
      <c r="N22" s="1">
        <f t="shared" si="4"/>
        <v>0</v>
      </c>
      <c r="O22" s="1">
        <f t="shared" si="5"/>
        <v>0</v>
      </c>
      <c r="P22" s="1">
        <f t="shared" si="8"/>
        <v>0</v>
      </c>
      <c r="Q22" s="1">
        <f t="shared" si="8"/>
        <v>0</v>
      </c>
      <c r="R22" s="12"/>
      <c r="S22" s="13"/>
      <c r="T22" s="14"/>
      <c r="U22" s="12"/>
      <c r="V22" s="13"/>
      <c r="W22" s="14"/>
    </row>
    <row r="23" spans="1:23" ht="17.25" customHeight="1" outlineLevel="1" thickBot="1">
      <c r="A23" s="6" t="s">
        <v>76</v>
      </c>
      <c r="B23" s="1">
        <f>ROUND(SUM(B15:B22)/COUNTA(B15:B22),2)</f>
        <v>3.13</v>
      </c>
      <c r="C23" s="1">
        <f t="shared" ref="C23:K23" si="9">ROUND(SUM(C15:C22)/COUNTA(C15:C22),2)</f>
        <v>632.36</v>
      </c>
      <c r="D23" s="1">
        <f t="shared" si="9"/>
        <v>3</v>
      </c>
      <c r="E23" s="1">
        <f t="shared" si="9"/>
        <v>590.35</v>
      </c>
      <c r="F23" s="1">
        <f t="shared" si="9"/>
        <v>3</v>
      </c>
      <c r="G23" s="1">
        <f t="shared" si="9"/>
        <v>590.28</v>
      </c>
      <c r="H23" s="1">
        <f t="shared" ref="H23" si="10">ROUND(SUM(H15:H22)/COUNTA(H15:H22),2)</f>
        <v>3</v>
      </c>
      <c r="I23" s="1">
        <f t="shared" ref="I23" si="11">ROUND(SUM(I15:I22)/COUNTA(I15:I22),2)</f>
        <v>590.28</v>
      </c>
      <c r="J23" s="1">
        <f t="shared" si="9"/>
        <v>3</v>
      </c>
      <c r="K23" s="1">
        <f t="shared" si="9"/>
        <v>589.86</v>
      </c>
      <c r="L23" s="21"/>
      <c r="M23" s="22"/>
      <c r="N23" s="22"/>
      <c r="O23" s="22"/>
      <c r="P23" s="22"/>
      <c r="Q23" s="23"/>
      <c r="R23" s="15"/>
      <c r="S23" s="16"/>
      <c r="T23" s="17"/>
      <c r="U23" s="15"/>
      <c r="V23" s="16"/>
      <c r="W23" s="17"/>
    </row>
    <row r="24" spans="1:23" ht="17.25" customHeight="1" thickBot="1">
      <c r="A24" s="8" t="s">
        <v>72</v>
      </c>
      <c r="B24" s="21" t="str">
        <f>COUNTA(A25:A36) &amp; " 筆"</f>
        <v>12 筆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3"/>
      <c r="R24" s="1">
        <v>5</v>
      </c>
      <c r="S24" s="1">
        <v>0</v>
      </c>
      <c r="T24" s="1">
        <v>7</v>
      </c>
      <c r="U24" s="1">
        <v>2</v>
      </c>
      <c r="V24" s="1">
        <v>0</v>
      </c>
      <c r="W24" s="1">
        <v>10</v>
      </c>
    </row>
    <row r="25" spans="1:23" ht="17.25" customHeight="1" outlineLevel="1" thickBot="1">
      <c r="A25" s="6" t="s">
        <v>19</v>
      </c>
      <c r="B25" s="1">
        <v>20</v>
      </c>
      <c r="C25" s="1">
        <v>1754.01</v>
      </c>
      <c r="D25" s="1">
        <v>19</v>
      </c>
      <c r="E25" s="1">
        <v>1656.55</v>
      </c>
      <c r="F25" s="3">
        <v>20</v>
      </c>
      <c r="G25" s="3">
        <v>1645.01</v>
      </c>
      <c r="H25" s="2">
        <v>19</v>
      </c>
      <c r="I25" s="2">
        <v>1653.16</v>
      </c>
      <c r="J25" s="1">
        <v>19</v>
      </c>
      <c r="K25" s="1">
        <v>1650.8</v>
      </c>
      <c r="L25" s="1">
        <f t="shared" ref="L25:L36" si="12">ROUND(((F25-D25)/D25)*100,2)</f>
        <v>5.26</v>
      </c>
      <c r="M25" s="1">
        <f t="shared" ref="M25:M36" si="13">ROUND(((G25-E25)/E25)*100,2)</f>
        <v>-0.7</v>
      </c>
      <c r="N25" s="1">
        <f t="shared" si="4"/>
        <v>0</v>
      </c>
      <c r="O25" s="1">
        <f t="shared" si="5"/>
        <v>-0.2</v>
      </c>
      <c r="P25" s="1">
        <f t="shared" ref="P25:P36" si="14">ROUND(((F25-J25)/J25)*100,2)</f>
        <v>5.26</v>
      </c>
      <c r="Q25" s="1">
        <f t="shared" ref="Q25:Q36" si="15">ROUND(((G25-K25)/K25)*100,2)</f>
        <v>-0.35</v>
      </c>
      <c r="R25" s="9"/>
      <c r="S25" s="10"/>
      <c r="T25" s="11"/>
      <c r="U25" s="9"/>
      <c r="V25" s="10"/>
      <c r="W25" s="11"/>
    </row>
    <row r="26" spans="1:23" ht="17.25" customHeight="1" outlineLevel="1" thickBot="1">
      <c r="A26" s="6" t="s">
        <v>20</v>
      </c>
      <c r="B26" s="1">
        <v>18</v>
      </c>
      <c r="C26" s="1">
        <v>1676.48</v>
      </c>
      <c r="D26" s="1">
        <v>18</v>
      </c>
      <c r="E26" s="1">
        <v>1476.85</v>
      </c>
      <c r="F26" s="2">
        <v>18</v>
      </c>
      <c r="G26" s="2">
        <v>1466.25</v>
      </c>
      <c r="H26" s="3">
        <v>18</v>
      </c>
      <c r="I26" s="3">
        <v>1486.68</v>
      </c>
      <c r="J26" s="1">
        <v>17</v>
      </c>
      <c r="K26" s="1">
        <v>1486.12</v>
      </c>
      <c r="L26" s="1">
        <f t="shared" si="12"/>
        <v>0</v>
      </c>
      <c r="M26" s="1">
        <f t="shared" si="13"/>
        <v>-0.72</v>
      </c>
      <c r="N26" s="1">
        <f t="shared" si="4"/>
        <v>0</v>
      </c>
      <c r="O26" s="1">
        <f t="shared" si="5"/>
        <v>0.67</v>
      </c>
      <c r="P26" s="1">
        <f t="shared" si="14"/>
        <v>5.88</v>
      </c>
      <c r="Q26" s="1">
        <f t="shared" si="15"/>
        <v>-1.34</v>
      </c>
      <c r="R26" s="12"/>
      <c r="S26" s="13"/>
      <c r="T26" s="14"/>
      <c r="U26" s="12"/>
      <c r="V26" s="13"/>
      <c r="W26" s="14"/>
    </row>
    <row r="27" spans="1:23" ht="17.25" customHeight="1" outlineLevel="1" thickBot="1">
      <c r="A27" s="6" t="s">
        <v>21</v>
      </c>
      <c r="B27" s="1">
        <v>15</v>
      </c>
      <c r="C27" s="1">
        <v>1463.66</v>
      </c>
      <c r="D27" s="1">
        <v>14</v>
      </c>
      <c r="E27" s="1">
        <v>1230.07</v>
      </c>
      <c r="F27" s="2">
        <v>14</v>
      </c>
      <c r="G27" s="2">
        <v>1201.52</v>
      </c>
      <c r="H27" s="2">
        <v>13</v>
      </c>
      <c r="I27" s="2">
        <v>1572.9</v>
      </c>
      <c r="J27" s="1">
        <v>13</v>
      </c>
      <c r="K27" s="1">
        <v>1292.68</v>
      </c>
      <c r="L27" s="1">
        <f t="shared" si="12"/>
        <v>0</v>
      </c>
      <c r="M27" s="1">
        <f t="shared" si="13"/>
        <v>-2.3199999999999998</v>
      </c>
      <c r="N27" s="1">
        <f t="shared" si="4"/>
        <v>-7.14</v>
      </c>
      <c r="O27" s="1">
        <f t="shared" si="5"/>
        <v>27.87</v>
      </c>
      <c r="P27" s="1">
        <f t="shared" si="14"/>
        <v>7.69</v>
      </c>
      <c r="Q27" s="1">
        <f t="shared" si="15"/>
        <v>-7.05</v>
      </c>
      <c r="R27" s="12"/>
      <c r="S27" s="13"/>
      <c r="T27" s="14"/>
      <c r="U27" s="12"/>
      <c r="V27" s="13"/>
      <c r="W27" s="14"/>
    </row>
    <row r="28" spans="1:23" ht="17.25" customHeight="1" outlineLevel="1" thickBot="1">
      <c r="A28" s="6" t="s">
        <v>22</v>
      </c>
      <c r="B28" s="1">
        <v>12</v>
      </c>
      <c r="C28" s="1">
        <v>1182.78</v>
      </c>
      <c r="D28" s="1">
        <v>10</v>
      </c>
      <c r="E28" s="1">
        <v>1010.55</v>
      </c>
      <c r="F28" s="2">
        <v>10</v>
      </c>
      <c r="G28" s="2">
        <v>991.94</v>
      </c>
      <c r="H28" s="3">
        <v>10</v>
      </c>
      <c r="I28" s="3">
        <v>1026</v>
      </c>
      <c r="J28" s="1">
        <v>9</v>
      </c>
      <c r="K28" s="1">
        <v>1007.31</v>
      </c>
      <c r="L28" s="1">
        <f t="shared" si="12"/>
        <v>0</v>
      </c>
      <c r="M28" s="1">
        <f t="shared" si="13"/>
        <v>-1.84</v>
      </c>
      <c r="N28" s="1">
        <f t="shared" si="4"/>
        <v>0</v>
      </c>
      <c r="O28" s="1">
        <f t="shared" si="5"/>
        <v>1.53</v>
      </c>
      <c r="P28" s="1">
        <f t="shared" si="14"/>
        <v>11.11</v>
      </c>
      <c r="Q28" s="1">
        <f t="shared" si="15"/>
        <v>-1.53</v>
      </c>
      <c r="R28" s="12"/>
      <c r="S28" s="13"/>
      <c r="T28" s="14"/>
      <c r="U28" s="12"/>
      <c r="V28" s="13"/>
      <c r="W28" s="14"/>
    </row>
    <row r="29" spans="1:23" ht="17.25" customHeight="1" outlineLevel="1" thickBot="1">
      <c r="A29" s="6" t="s">
        <v>23</v>
      </c>
      <c r="B29" s="1">
        <v>15</v>
      </c>
      <c r="C29" s="1">
        <v>1567.15</v>
      </c>
      <c r="D29" s="1">
        <v>14</v>
      </c>
      <c r="E29" s="1">
        <v>1395.68</v>
      </c>
      <c r="F29" s="3">
        <v>15</v>
      </c>
      <c r="G29" s="3">
        <v>1389.17</v>
      </c>
      <c r="H29" s="3">
        <v>14</v>
      </c>
      <c r="I29" s="3">
        <v>1688.63</v>
      </c>
      <c r="J29" s="1">
        <v>14</v>
      </c>
      <c r="K29" s="1">
        <v>1377.11</v>
      </c>
      <c r="L29" s="1">
        <f t="shared" si="12"/>
        <v>7.14</v>
      </c>
      <c r="M29" s="1">
        <f t="shared" si="13"/>
        <v>-0.47</v>
      </c>
      <c r="N29" s="1">
        <f t="shared" si="4"/>
        <v>0</v>
      </c>
      <c r="O29" s="1">
        <f t="shared" si="5"/>
        <v>20.99</v>
      </c>
      <c r="P29" s="1">
        <f t="shared" si="14"/>
        <v>7.14</v>
      </c>
      <c r="Q29" s="1">
        <f t="shared" si="15"/>
        <v>0.88</v>
      </c>
      <c r="R29" s="12"/>
      <c r="S29" s="13"/>
      <c r="T29" s="14"/>
      <c r="U29" s="12"/>
      <c r="V29" s="13"/>
      <c r="W29" s="14"/>
    </row>
    <row r="30" spans="1:23" ht="17.25" customHeight="1" outlineLevel="1" thickBot="1">
      <c r="A30" s="6" t="s">
        <v>24</v>
      </c>
      <c r="B30" s="1">
        <v>14</v>
      </c>
      <c r="C30" s="1">
        <v>1405.56</v>
      </c>
      <c r="D30" s="1">
        <v>13</v>
      </c>
      <c r="E30" s="1">
        <v>1261.6099999999999</v>
      </c>
      <c r="F30" s="3">
        <v>13</v>
      </c>
      <c r="G30" s="3">
        <v>1278.1600000000001</v>
      </c>
      <c r="H30" s="3">
        <v>13</v>
      </c>
      <c r="I30" s="3">
        <v>1285.3599999999999</v>
      </c>
      <c r="J30" s="1">
        <v>12</v>
      </c>
      <c r="K30" s="1">
        <v>1252.03</v>
      </c>
      <c r="L30" s="1">
        <f t="shared" si="12"/>
        <v>0</v>
      </c>
      <c r="M30" s="1">
        <f t="shared" si="13"/>
        <v>1.31</v>
      </c>
      <c r="N30" s="1">
        <f t="shared" si="4"/>
        <v>0</v>
      </c>
      <c r="O30" s="1">
        <f t="shared" si="5"/>
        <v>1.88</v>
      </c>
      <c r="P30" s="1">
        <f t="shared" si="14"/>
        <v>8.33</v>
      </c>
      <c r="Q30" s="1">
        <f t="shared" si="15"/>
        <v>2.09</v>
      </c>
      <c r="R30" s="12"/>
      <c r="S30" s="13"/>
      <c r="T30" s="14"/>
      <c r="U30" s="12"/>
      <c r="V30" s="13"/>
      <c r="W30" s="14"/>
    </row>
    <row r="31" spans="1:23" ht="17.25" customHeight="1" outlineLevel="1" thickBot="1">
      <c r="A31" s="6" t="s">
        <v>25</v>
      </c>
      <c r="B31" s="1">
        <v>12</v>
      </c>
      <c r="C31" s="1">
        <v>1260.24</v>
      </c>
      <c r="D31" s="1">
        <v>11</v>
      </c>
      <c r="E31" s="1">
        <v>1103.77</v>
      </c>
      <c r="F31" s="2">
        <v>11</v>
      </c>
      <c r="G31" s="2">
        <v>1098.19</v>
      </c>
      <c r="H31" s="3">
        <v>11</v>
      </c>
      <c r="I31" s="3">
        <v>1127.3900000000001</v>
      </c>
      <c r="J31" s="1">
        <v>10</v>
      </c>
      <c r="K31" s="1">
        <v>1104.6600000000001</v>
      </c>
      <c r="L31" s="1">
        <f t="shared" si="12"/>
        <v>0</v>
      </c>
      <c r="M31" s="1">
        <f t="shared" si="13"/>
        <v>-0.51</v>
      </c>
      <c r="N31" s="1">
        <f t="shared" si="4"/>
        <v>0</v>
      </c>
      <c r="O31" s="1">
        <f t="shared" si="5"/>
        <v>2.14</v>
      </c>
      <c r="P31" s="1">
        <f t="shared" si="14"/>
        <v>10</v>
      </c>
      <c r="Q31" s="1">
        <f t="shared" si="15"/>
        <v>-0.59</v>
      </c>
      <c r="R31" s="12"/>
      <c r="S31" s="13"/>
      <c r="T31" s="14"/>
      <c r="U31" s="12"/>
      <c r="V31" s="13"/>
      <c r="W31" s="14"/>
    </row>
    <row r="32" spans="1:23" ht="17.25" customHeight="1" outlineLevel="1" thickBot="1">
      <c r="A32" s="6" t="s">
        <v>26</v>
      </c>
      <c r="B32" s="1">
        <v>11</v>
      </c>
      <c r="C32" s="1">
        <v>1126.8800000000001</v>
      </c>
      <c r="D32" s="1">
        <v>10</v>
      </c>
      <c r="E32" s="1">
        <v>966.99</v>
      </c>
      <c r="F32" s="2">
        <v>10</v>
      </c>
      <c r="G32" s="2">
        <v>953.55</v>
      </c>
      <c r="H32" s="3">
        <v>10</v>
      </c>
      <c r="I32" s="3">
        <v>1005.63</v>
      </c>
      <c r="J32" s="1">
        <v>9</v>
      </c>
      <c r="K32" s="1">
        <v>960.88</v>
      </c>
      <c r="L32" s="1">
        <f t="shared" si="12"/>
        <v>0</v>
      </c>
      <c r="M32" s="1">
        <f t="shared" si="13"/>
        <v>-1.39</v>
      </c>
      <c r="N32" s="1">
        <f t="shared" si="4"/>
        <v>0</v>
      </c>
      <c r="O32" s="1">
        <f t="shared" si="5"/>
        <v>4</v>
      </c>
      <c r="P32" s="1">
        <f t="shared" si="14"/>
        <v>11.11</v>
      </c>
      <c r="Q32" s="1">
        <f t="shared" si="15"/>
        <v>-0.76</v>
      </c>
      <c r="R32" s="12"/>
      <c r="S32" s="13"/>
      <c r="T32" s="14"/>
      <c r="U32" s="12"/>
      <c r="V32" s="13"/>
      <c r="W32" s="14"/>
    </row>
    <row r="33" spans="1:23" ht="17.25" customHeight="1" outlineLevel="1" thickBot="1">
      <c r="A33" s="6" t="s">
        <v>27</v>
      </c>
      <c r="B33" s="1">
        <v>13</v>
      </c>
      <c r="C33" s="1">
        <v>1386.28</v>
      </c>
      <c r="D33" s="1">
        <v>12</v>
      </c>
      <c r="E33" s="1">
        <v>1200.2</v>
      </c>
      <c r="F33" s="3">
        <v>13</v>
      </c>
      <c r="G33" s="3">
        <v>1179.8</v>
      </c>
      <c r="H33" s="3">
        <v>12</v>
      </c>
      <c r="I33" s="3">
        <v>1255.48</v>
      </c>
      <c r="J33" s="1">
        <v>11</v>
      </c>
      <c r="K33" s="1">
        <v>1194.73</v>
      </c>
      <c r="L33" s="1">
        <f t="shared" si="12"/>
        <v>8.33</v>
      </c>
      <c r="M33" s="1">
        <f t="shared" si="13"/>
        <v>-1.7</v>
      </c>
      <c r="N33" s="1">
        <f t="shared" si="4"/>
        <v>0</v>
      </c>
      <c r="O33" s="1">
        <f t="shared" si="5"/>
        <v>4.6100000000000003</v>
      </c>
      <c r="P33" s="1">
        <f t="shared" si="14"/>
        <v>18.18</v>
      </c>
      <c r="Q33" s="1">
        <f t="shared" si="15"/>
        <v>-1.25</v>
      </c>
      <c r="R33" s="12"/>
      <c r="S33" s="13"/>
      <c r="T33" s="14"/>
      <c r="U33" s="12"/>
      <c r="V33" s="13"/>
      <c r="W33" s="14"/>
    </row>
    <row r="34" spans="1:23" ht="17.25" customHeight="1" outlineLevel="1" thickBot="1">
      <c r="A34" s="6" t="s">
        <v>28</v>
      </c>
      <c r="B34" s="1">
        <v>13</v>
      </c>
      <c r="C34" s="1">
        <v>1289.46</v>
      </c>
      <c r="D34" s="1">
        <v>11</v>
      </c>
      <c r="E34" s="1">
        <v>1127.28</v>
      </c>
      <c r="F34" s="3">
        <v>12</v>
      </c>
      <c r="G34" s="3">
        <v>1114.3</v>
      </c>
      <c r="H34" s="3">
        <v>11</v>
      </c>
      <c r="I34" s="3">
        <v>1151.1199999999999</v>
      </c>
      <c r="J34" s="1">
        <v>10</v>
      </c>
      <c r="K34" s="1">
        <v>1118.8399999999999</v>
      </c>
      <c r="L34" s="1">
        <f t="shared" si="12"/>
        <v>9.09</v>
      </c>
      <c r="M34" s="1">
        <f t="shared" si="13"/>
        <v>-1.1499999999999999</v>
      </c>
      <c r="N34" s="1">
        <f t="shared" si="4"/>
        <v>0</v>
      </c>
      <c r="O34" s="1">
        <f t="shared" si="5"/>
        <v>2.11</v>
      </c>
      <c r="P34" s="1">
        <f t="shared" si="14"/>
        <v>20</v>
      </c>
      <c r="Q34" s="1">
        <f t="shared" si="15"/>
        <v>-0.41</v>
      </c>
      <c r="R34" s="12"/>
      <c r="S34" s="13"/>
      <c r="T34" s="14"/>
      <c r="U34" s="12"/>
      <c r="V34" s="13"/>
      <c r="W34" s="14"/>
    </row>
    <row r="35" spans="1:23" ht="17.25" customHeight="1" outlineLevel="1" thickBot="1">
      <c r="A35" s="6" t="s">
        <v>29</v>
      </c>
      <c r="B35" s="1">
        <v>13</v>
      </c>
      <c r="C35" s="1">
        <v>1309.6400000000001</v>
      </c>
      <c r="D35" s="1">
        <v>11</v>
      </c>
      <c r="E35" s="1">
        <v>1096.3800000000001</v>
      </c>
      <c r="F35" s="3">
        <v>12</v>
      </c>
      <c r="G35" s="3">
        <v>1090.1600000000001</v>
      </c>
      <c r="H35" s="3">
        <v>11</v>
      </c>
      <c r="I35" s="3">
        <v>1161.68</v>
      </c>
      <c r="J35" s="1">
        <v>10</v>
      </c>
      <c r="K35" s="1">
        <v>1096.72</v>
      </c>
      <c r="L35" s="1">
        <f t="shared" si="12"/>
        <v>9.09</v>
      </c>
      <c r="M35" s="1">
        <f t="shared" si="13"/>
        <v>-0.56999999999999995</v>
      </c>
      <c r="N35" s="1">
        <f t="shared" si="4"/>
        <v>0</v>
      </c>
      <c r="O35" s="1">
        <f t="shared" si="5"/>
        <v>5.96</v>
      </c>
      <c r="P35" s="1">
        <f t="shared" si="14"/>
        <v>20</v>
      </c>
      <c r="Q35" s="1">
        <f t="shared" si="15"/>
        <v>-0.6</v>
      </c>
      <c r="R35" s="12"/>
      <c r="S35" s="13"/>
      <c r="T35" s="14"/>
      <c r="U35" s="12"/>
      <c r="V35" s="13"/>
      <c r="W35" s="14"/>
    </row>
    <row r="36" spans="1:23" ht="17.25" customHeight="1" outlineLevel="1" thickBot="1">
      <c r="A36" s="6" t="s">
        <v>30</v>
      </c>
      <c r="B36" s="1">
        <v>11</v>
      </c>
      <c r="C36" s="1">
        <v>1181.53</v>
      </c>
      <c r="D36" s="1">
        <v>9</v>
      </c>
      <c r="E36" s="1">
        <v>982.14</v>
      </c>
      <c r="F36" s="3">
        <v>10</v>
      </c>
      <c r="G36" s="3">
        <v>984.72</v>
      </c>
      <c r="H36" s="3">
        <v>10</v>
      </c>
      <c r="I36" s="3">
        <v>1035.94</v>
      </c>
      <c r="J36" s="1">
        <v>9</v>
      </c>
      <c r="K36" s="1">
        <v>982.14</v>
      </c>
      <c r="L36" s="1">
        <f t="shared" si="12"/>
        <v>11.11</v>
      </c>
      <c r="M36" s="1">
        <f t="shared" si="13"/>
        <v>0.26</v>
      </c>
      <c r="N36" s="1">
        <f t="shared" si="4"/>
        <v>11.11</v>
      </c>
      <c r="O36" s="1">
        <f t="shared" si="5"/>
        <v>5.48</v>
      </c>
      <c r="P36" s="1">
        <f t="shared" si="14"/>
        <v>11.11</v>
      </c>
      <c r="Q36" s="1">
        <f t="shared" si="15"/>
        <v>0.26</v>
      </c>
      <c r="R36" s="12"/>
      <c r="S36" s="13"/>
      <c r="T36" s="14"/>
      <c r="U36" s="12"/>
      <c r="V36" s="13"/>
      <c r="W36" s="14"/>
    </row>
    <row r="37" spans="1:23" ht="17.25" customHeight="1" outlineLevel="1" thickBot="1">
      <c r="A37" s="6" t="s">
        <v>76</v>
      </c>
      <c r="B37" s="1">
        <f>ROUND(SUM(B25:B36)/COUNTA(B25:B36),2)</f>
        <v>13.92</v>
      </c>
      <c r="C37" s="1">
        <f t="shared" ref="C37:K37" si="16">ROUND(SUM(C25:C36)/COUNTA(C25:C36),2)</f>
        <v>1383.64</v>
      </c>
      <c r="D37" s="1">
        <f>ROUND(SUM(D25:D36)/COUNTA(D25:D36),2)</f>
        <v>12.67</v>
      </c>
      <c r="E37" s="1">
        <f t="shared" si="16"/>
        <v>1209.01</v>
      </c>
      <c r="F37" s="1">
        <f>ROUND(SUM(F25:F36)/COUNTA(F25:F36),2)</f>
        <v>13.17</v>
      </c>
      <c r="G37" s="1">
        <f t="shared" si="16"/>
        <v>1199.4000000000001</v>
      </c>
      <c r="H37" s="1">
        <f>ROUND(SUM(H25:H36)/COUNTA(H25:H36),2)</f>
        <v>12.67</v>
      </c>
      <c r="I37" s="1">
        <f t="shared" ref="I37" si="17">ROUND(SUM(I25:I36)/COUNTA(I25:I36),2)</f>
        <v>1287.5</v>
      </c>
      <c r="J37" s="1">
        <f t="shared" si="16"/>
        <v>11.92</v>
      </c>
      <c r="K37" s="1">
        <f t="shared" si="16"/>
        <v>1210.3399999999999</v>
      </c>
      <c r="L37" s="21"/>
      <c r="M37" s="22"/>
      <c r="N37" s="22"/>
      <c r="O37" s="22"/>
      <c r="P37" s="22"/>
      <c r="Q37" s="23"/>
      <c r="R37" s="15"/>
      <c r="S37" s="16"/>
      <c r="T37" s="17"/>
      <c r="U37" s="15"/>
      <c r="V37" s="16"/>
      <c r="W37" s="17"/>
    </row>
    <row r="38" spans="1:23" ht="18" customHeight="1" thickBot="1">
      <c r="A38" s="8" t="s">
        <v>73</v>
      </c>
      <c r="B38" s="21" t="str">
        <f>COUNTA(A39:A49) &amp; " 筆"</f>
        <v>11 筆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3"/>
      <c r="R38" s="1">
        <v>6</v>
      </c>
      <c r="S38" s="1">
        <v>0</v>
      </c>
      <c r="T38" s="1">
        <v>5</v>
      </c>
      <c r="U38" s="1">
        <v>9</v>
      </c>
      <c r="V38" s="1">
        <v>0</v>
      </c>
      <c r="W38" s="1">
        <v>2</v>
      </c>
    </row>
    <row r="39" spans="1:23" ht="17.25" customHeight="1" outlineLevel="1" thickBot="1">
      <c r="A39" s="6" t="s">
        <v>31</v>
      </c>
      <c r="B39" s="1">
        <v>4</v>
      </c>
      <c r="C39" s="1">
        <v>1687.77</v>
      </c>
      <c r="D39" s="1">
        <v>4</v>
      </c>
      <c r="E39" s="1">
        <v>1442.28</v>
      </c>
      <c r="F39" s="3">
        <v>6</v>
      </c>
      <c r="G39" s="3">
        <v>1234.68</v>
      </c>
      <c r="H39" s="2">
        <v>4</v>
      </c>
      <c r="I39" s="2">
        <v>1308.44</v>
      </c>
      <c r="J39" s="1">
        <v>4</v>
      </c>
      <c r="K39" s="1">
        <v>1252.3699999999999</v>
      </c>
      <c r="L39" s="1">
        <f t="shared" ref="L39:L49" si="18">ROUND(((F39-D39)/D39)*100,2)</f>
        <v>50</v>
      </c>
      <c r="M39" s="1">
        <f t="shared" ref="M39:M49" si="19">ROUND(((G39-E39)/E39)*100,2)</f>
        <v>-14.39</v>
      </c>
      <c r="N39" s="1">
        <f t="shared" si="4"/>
        <v>0</v>
      </c>
      <c r="O39" s="1">
        <f t="shared" si="5"/>
        <v>-9.2799999999999994</v>
      </c>
      <c r="P39" s="1">
        <f t="shared" ref="P39:P49" si="20">ROUND(((F39-J39)/J39)*100,2)</f>
        <v>50</v>
      </c>
      <c r="Q39" s="1">
        <f t="shared" ref="Q39:Q49" si="21">ROUND(((G39-K39)/K39)*100,2)</f>
        <v>-1.41</v>
      </c>
      <c r="R39" s="9"/>
      <c r="S39" s="10"/>
      <c r="T39" s="11"/>
      <c r="U39" s="9"/>
      <c r="V39" s="10"/>
      <c r="W39" s="11"/>
    </row>
    <row r="40" spans="1:23" ht="17.25" customHeight="1" outlineLevel="1" thickBot="1">
      <c r="A40" s="6" t="s">
        <v>32</v>
      </c>
      <c r="B40" s="1">
        <v>4</v>
      </c>
      <c r="C40" s="1">
        <v>1513.5</v>
      </c>
      <c r="D40" s="1">
        <v>4</v>
      </c>
      <c r="E40" s="1">
        <v>1212.49</v>
      </c>
      <c r="F40" s="3">
        <v>6</v>
      </c>
      <c r="G40" s="3">
        <v>1103.74</v>
      </c>
      <c r="H40" s="2">
        <v>3</v>
      </c>
      <c r="I40" s="2">
        <v>1759.75</v>
      </c>
      <c r="J40" s="1">
        <v>3</v>
      </c>
      <c r="K40" s="1">
        <v>1191.7</v>
      </c>
      <c r="L40" s="1">
        <f t="shared" si="18"/>
        <v>50</v>
      </c>
      <c r="M40" s="1">
        <f t="shared" si="19"/>
        <v>-8.9700000000000006</v>
      </c>
      <c r="N40" s="1">
        <f t="shared" si="4"/>
        <v>-25</v>
      </c>
      <c r="O40" s="1">
        <f t="shared" si="5"/>
        <v>45.14</v>
      </c>
      <c r="P40" s="1">
        <f t="shared" si="20"/>
        <v>100</v>
      </c>
      <c r="Q40" s="1">
        <f t="shared" si="21"/>
        <v>-7.38</v>
      </c>
      <c r="R40" s="12"/>
      <c r="S40" s="13"/>
      <c r="T40" s="14"/>
      <c r="U40" s="12"/>
      <c r="V40" s="13"/>
      <c r="W40" s="14"/>
    </row>
    <row r="41" spans="1:23" ht="17.25" customHeight="1" outlineLevel="1" thickBot="1">
      <c r="A41" s="6" t="s">
        <v>33</v>
      </c>
      <c r="B41" s="1">
        <v>3</v>
      </c>
      <c r="C41" s="1">
        <v>1425.91</v>
      </c>
      <c r="D41" s="1">
        <v>3</v>
      </c>
      <c r="E41" s="1">
        <v>1197.67</v>
      </c>
      <c r="F41" s="3">
        <v>5</v>
      </c>
      <c r="G41" s="3">
        <v>964.76</v>
      </c>
      <c r="H41" s="2">
        <v>3</v>
      </c>
      <c r="I41" s="2">
        <v>986.47</v>
      </c>
      <c r="J41" s="1">
        <v>3</v>
      </c>
      <c r="K41" s="1">
        <v>939.5</v>
      </c>
      <c r="L41" s="1">
        <f t="shared" si="18"/>
        <v>66.67</v>
      </c>
      <c r="M41" s="1">
        <f t="shared" si="19"/>
        <v>-19.45</v>
      </c>
      <c r="N41" s="1">
        <f t="shared" si="4"/>
        <v>0</v>
      </c>
      <c r="O41" s="1">
        <f t="shared" si="5"/>
        <v>-17.63</v>
      </c>
      <c r="P41" s="1">
        <f t="shared" si="20"/>
        <v>66.67</v>
      </c>
      <c r="Q41" s="1">
        <f t="shared" si="21"/>
        <v>2.69</v>
      </c>
      <c r="R41" s="12"/>
      <c r="S41" s="13"/>
      <c r="T41" s="14"/>
      <c r="U41" s="12"/>
      <c r="V41" s="13"/>
      <c r="W41" s="14"/>
    </row>
    <row r="42" spans="1:23" ht="17.25" customHeight="1" outlineLevel="1" thickBot="1">
      <c r="A42" s="6" t="s">
        <v>34</v>
      </c>
      <c r="B42" s="1">
        <v>3</v>
      </c>
      <c r="C42" s="1">
        <v>1122.0899999999999</v>
      </c>
      <c r="D42" s="1">
        <v>10</v>
      </c>
      <c r="E42" s="1">
        <v>854.31</v>
      </c>
      <c r="F42" s="2">
        <v>4</v>
      </c>
      <c r="G42" s="2">
        <v>766.23</v>
      </c>
      <c r="H42" s="2">
        <v>3</v>
      </c>
      <c r="I42" s="2">
        <v>763.8</v>
      </c>
      <c r="J42" s="1">
        <v>2</v>
      </c>
      <c r="K42" s="1">
        <v>825.52</v>
      </c>
      <c r="L42" s="1">
        <f t="shared" si="18"/>
        <v>-60</v>
      </c>
      <c r="M42" s="1">
        <f t="shared" si="19"/>
        <v>-10.31</v>
      </c>
      <c r="N42" s="1">
        <f t="shared" si="4"/>
        <v>-70</v>
      </c>
      <c r="O42" s="1">
        <f t="shared" si="5"/>
        <v>-10.59</v>
      </c>
      <c r="P42" s="1">
        <f t="shared" si="20"/>
        <v>100</v>
      </c>
      <c r="Q42" s="1">
        <f t="shared" si="21"/>
        <v>-7.18</v>
      </c>
      <c r="R42" s="12"/>
      <c r="S42" s="13"/>
      <c r="T42" s="14"/>
      <c r="U42" s="12"/>
      <c r="V42" s="13"/>
      <c r="W42" s="14"/>
    </row>
    <row r="43" spans="1:23" ht="17.25" customHeight="1" outlineLevel="1" thickBot="1">
      <c r="A43" s="6" t="s">
        <v>35</v>
      </c>
      <c r="B43" s="1">
        <v>4</v>
      </c>
      <c r="C43" s="1">
        <v>1454.03</v>
      </c>
      <c r="D43" s="1">
        <v>4</v>
      </c>
      <c r="E43" s="1">
        <v>1337.65</v>
      </c>
      <c r="F43" s="2">
        <v>4</v>
      </c>
      <c r="G43" s="2">
        <v>1078.75</v>
      </c>
      <c r="H43" s="2">
        <v>3</v>
      </c>
      <c r="I43" s="2">
        <v>1067.95</v>
      </c>
      <c r="J43" s="1">
        <v>3</v>
      </c>
      <c r="K43" s="1">
        <v>994.43</v>
      </c>
      <c r="L43" s="1">
        <f t="shared" si="18"/>
        <v>0</v>
      </c>
      <c r="M43" s="1">
        <f t="shared" si="19"/>
        <v>-19.350000000000001</v>
      </c>
      <c r="N43" s="1">
        <f t="shared" si="4"/>
        <v>-25</v>
      </c>
      <c r="O43" s="1">
        <f t="shared" si="5"/>
        <v>-20.16</v>
      </c>
      <c r="P43" s="1">
        <f t="shared" si="20"/>
        <v>33.33</v>
      </c>
      <c r="Q43" s="1">
        <f t="shared" si="21"/>
        <v>8.48</v>
      </c>
      <c r="R43" s="12"/>
      <c r="S43" s="13"/>
      <c r="T43" s="14"/>
      <c r="U43" s="12"/>
      <c r="V43" s="13"/>
      <c r="W43" s="14"/>
    </row>
    <row r="44" spans="1:23" ht="17.25" customHeight="1" outlineLevel="1" thickBot="1">
      <c r="A44" s="6" t="s">
        <v>36</v>
      </c>
      <c r="B44" s="1">
        <v>3</v>
      </c>
      <c r="C44" s="1">
        <v>1268.71</v>
      </c>
      <c r="D44" s="1">
        <v>4</v>
      </c>
      <c r="E44" s="1">
        <v>1114.76</v>
      </c>
      <c r="F44" s="2">
        <v>3</v>
      </c>
      <c r="G44" s="2">
        <v>1005.14</v>
      </c>
      <c r="H44" s="2">
        <v>3</v>
      </c>
      <c r="I44" s="2">
        <v>967.52</v>
      </c>
      <c r="J44" s="1">
        <v>3</v>
      </c>
      <c r="K44" s="1">
        <v>906.14</v>
      </c>
      <c r="L44" s="1">
        <f t="shared" si="18"/>
        <v>-25</v>
      </c>
      <c r="M44" s="1">
        <f t="shared" si="19"/>
        <v>-9.83</v>
      </c>
      <c r="N44" s="1">
        <f t="shared" si="4"/>
        <v>-25</v>
      </c>
      <c r="O44" s="1">
        <f t="shared" si="5"/>
        <v>-13.21</v>
      </c>
      <c r="P44" s="1">
        <f t="shared" si="20"/>
        <v>0</v>
      </c>
      <c r="Q44" s="1">
        <f t="shared" si="21"/>
        <v>10.93</v>
      </c>
      <c r="R44" s="12"/>
      <c r="S44" s="13"/>
      <c r="T44" s="14"/>
      <c r="U44" s="12"/>
      <c r="V44" s="13"/>
      <c r="W44" s="14"/>
    </row>
    <row r="45" spans="1:23" ht="17.25" customHeight="1" outlineLevel="1" thickBot="1">
      <c r="A45" s="6" t="s">
        <v>37</v>
      </c>
      <c r="B45" s="1">
        <v>3</v>
      </c>
      <c r="C45" s="1">
        <v>1207.1500000000001</v>
      </c>
      <c r="D45" s="1">
        <v>4</v>
      </c>
      <c r="E45" s="1">
        <v>1055.71</v>
      </c>
      <c r="F45" s="2">
        <v>4</v>
      </c>
      <c r="G45" s="2">
        <v>865.63</v>
      </c>
      <c r="H45" s="2">
        <v>3</v>
      </c>
      <c r="I45" s="2">
        <v>853.49</v>
      </c>
      <c r="J45" s="1">
        <v>2</v>
      </c>
      <c r="K45" s="1">
        <v>890.61</v>
      </c>
      <c r="L45" s="1">
        <f t="shared" si="18"/>
        <v>0</v>
      </c>
      <c r="M45" s="1">
        <f t="shared" si="19"/>
        <v>-18</v>
      </c>
      <c r="N45" s="1">
        <f t="shared" si="4"/>
        <v>-25</v>
      </c>
      <c r="O45" s="1">
        <f t="shared" si="5"/>
        <v>-19.149999999999999</v>
      </c>
      <c r="P45" s="1">
        <f t="shared" si="20"/>
        <v>100</v>
      </c>
      <c r="Q45" s="1">
        <f t="shared" si="21"/>
        <v>-2.8</v>
      </c>
      <c r="R45" s="12"/>
      <c r="S45" s="13"/>
      <c r="T45" s="14"/>
      <c r="U45" s="12"/>
      <c r="V45" s="13"/>
      <c r="W45" s="14"/>
    </row>
    <row r="46" spans="1:23" ht="17.25" customHeight="1" outlineLevel="1" thickBot="1">
      <c r="A46" s="6" t="s">
        <v>38</v>
      </c>
      <c r="B46" s="1">
        <v>3</v>
      </c>
      <c r="C46" s="1">
        <v>970.12</v>
      </c>
      <c r="D46" s="1">
        <v>3</v>
      </c>
      <c r="E46" s="1">
        <v>860.53</v>
      </c>
      <c r="F46" s="2">
        <v>3</v>
      </c>
      <c r="G46" s="2">
        <v>727.64</v>
      </c>
      <c r="H46" s="2">
        <v>2</v>
      </c>
      <c r="I46" s="2">
        <v>739.55</v>
      </c>
      <c r="J46" s="1">
        <v>2</v>
      </c>
      <c r="K46" s="1">
        <v>726.82</v>
      </c>
      <c r="L46" s="1">
        <f t="shared" si="18"/>
        <v>0</v>
      </c>
      <c r="M46" s="1">
        <f t="shared" si="19"/>
        <v>-15.44</v>
      </c>
      <c r="N46" s="1">
        <f t="shared" si="4"/>
        <v>-33.33</v>
      </c>
      <c r="O46" s="1">
        <f t="shared" si="5"/>
        <v>-14.06</v>
      </c>
      <c r="P46" s="1">
        <f t="shared" si="20"/>
        <v>50</v>
      </c>
      <c r="Q46" s="1">
        <f t="shared" si="21"/>
        <v>0.11</v>
      </c>
      <c r="R46" s="12"/>
      <c r="S46" s="13"/>
      <c r="T46" s="14"/>
      <c r="U46" s="12"/>
      <c r="V46" s="13"/>
      <c r="W46" s="14"/>
    </row>
    <row r="47" spans="1:23" ht="17.25" customHeight="1" outlineLevel="1" thickBot="1">
      <c r="A47" s="6" t="s">
        <v>39</v>
      </c>
      <c r="B47" s="1">
        <v>3</v>
      </c>
      <c r="C47" s="1">
        <v>1341.3</v>
      </c>
      <c r="D47" s="1">
        <v>2</v>
      </c>
      <c r="E47" s="1">
        <v>895.46749999999997</v>
      </c>
      <c r="F47" s="3">
        <v>4</v>
      </c>
      <c r="G47" s="3">
        <v>912.61</v>
      </c>
      <c r="H47" s="3">
        <v>3</v>
      </c>
      <c r="I47" s="3">
        <v>957.21</v>
      </c>
      <c r="J47" s="1">
        <v>3</v>
      </c>
      <c r="K47" s="1">
        <v>909.16</v>
      </c>
      <c r="L47" s="1">
        <f t="shared" si="18"/>
        <v>100</v>
      </c>
      <c r="M47" s="1">
        <f t="shared" si="19"/>
        <v>1.91</v>
      </c>
      <c r="N47" s="1">
        <f t="shared" si="4"/>
        <v>50</v>
      </c>
      <c r="O47" s="1">
        <f t="shared" si="5"/>
        <v>6.9</v>
      </c>
      <c r="P47" s="1">
        <f t="shared" si="20"/>
        <v>33.33</v>
      </c>
      <c r="Q47" s="1">
        <f t="shared" si="21"/>
        <v>0.38</v>
      </c>
      <c r="R47" s="12"/>
      <c r="S47" s="13"/>
      <c r="T47" s="14"/>
      <c r="U47" s="12"/>
      <c r="V47" s="13"/>
      <c r="W47" s="14"/>
    </row>
    <row r="48" spans="1:23" ht="17.25" customHeight="1" outlineLevel="1" thickBot="1">
      <c r="A48" s="6" t="s">
        <v>40</v>
      </c>
      <c r="B48" s="1">
        <v>3</v>
      </c>
      <c r="C48" s="1">
        <v>1519.76</v>
      </c>
      <c r="D48" s="1">
        <v>2</v>
      </c>
      <c r="E48" s="1">
        <v>942.94849999999997</v>
      </c>
      <c r="F48" s="3">
        <v>4</v>
      </c>
      <c r="G48" s="3">
        <v>1022.23</v>
      </c>
      <c r="H48" s="3">
        <v>3</v>
      </c>
      <c r="I48" s="3">
        <v>993.95</v>
      </c>
      <c r="J48" s="1">
        <v>3</v>
      </c>
      <c r="K48" s="1">
        <v>939.37</v>
      </c>
      <c r="L48" s="1">
        <f t="shared" si="18"/>
        <v>100</v>
      </c>
      <c r="M48" s="1">
        <f t="shared" si="19"/>
        <v>8.41</v>
      </c>
      <c r="N48" s="1">
        <f t="shared" si="4"/>
        <v>50</v>
      </c>
      <c r="O48" s="1">
        <f t="shared" si="5"/>
        <v>5.41</v>
      </c>
      <c r="P48" s="1">
        <f t="shared" si="20"/>
        <v>33.33</v>
      </c>
      <c r="Q48" s="1">
        <f t="shared" si="21"/>
        <v>8.82</v>
      </c>
      <c r="R48" s="12"/>
      <c r="S48" s="13"/>
      <c r="T48" s="14"/>
      <c r="U48" s="12"/>
      <c r="V48" s="13"/>
      <c r="W48" s="14"/>
    </row>
    <row r="49" spans="1:23" ht="17.25" customHeight="1" outlineLevel="1" thickBot="1">
      <c r="A49" s="6" t="s">
        <v>41</v>
      </c>
      <c r="B49" s="1">
        <v>3</v>
      </c>
      <c r="C49" s="1">
        <v>1113.53</v>
      </c>
      <c r="D49" s="1">
        <v>3</v>
      </c>
      <c r="E49" s="1">
        <v>1049.6199999999999</v>
      </c>
      <c r="F49" s="2">
        <v>3</v>
      </c>
      <c r="G49" s="2">
        <v>802.69</v>
      </c>
      <c r="H49" s="2">
        <v>3</v>
      </c>
      <c r="I49" s="2">
        <v>820.45</v>
      </c>
      <c r="J49" s="1">
        <v>2</v>
      </c>
      <c r="K49" s="1">
        <v>885.71</v>
      </c>
      <c r="L49" s="1">
        <f t="shared" si="18"/>
        <v>0</v>
      </c>
      <c r="M49" s="1">
        <f t="shared" si="19"/>
        <v>-23.53</v>
      </c>
      <c r="N49" s="1">
        <f t="shared" si="4"/>
        <v>0</v>
      </c>
      <c r="O49" s="1">
        <f t="shared" si="5"/>
        <v>-21.83</v>
      </c>
      <c r="P49" s="1">
        <f t="shared" si="20"/>
        <v>50</v>
      </c>
      <c r="Q49" s="1">
        <f t="shared" si="21"/>
        <v>-9.3699999999999992</v>
      </c>
      <c r="R49" s="12"/>
      <c r="S49" s="13"/>
      <c r="T49" s="14"/>
      <c r="U49" s="12"/>
      <c r="V49" s="13"/>
      <c r="W49" s="14"/>
    </row>
    <row r="50" spans="1:23" ht="17.25" customHeight="1" outlineLevel="1" thickBot="1">
      <c r="A50" s="6" t="s">
        <v>76</v>
      </c>
      <c r="B50" s="1">
        <f>ROUND(SUM(B39:B49)/COUNTA(B39:B49),2)</f>
        <v>3.27</v>
      </c>
      <c r="C50" s="1">
        <f t="shared" ref="C50:K50" si="22">ROUND(SUM(C39:C49)/COUNTA(C39:C49),2)</f>
        <v>1329.44</v>
      </c>
      <c r="D50" s="1">
        <f t="shared" si="22"/>
        <v>3.91</v>
      </c>
      <c r="E50" s="1">
        <f t="shared" si="22"/>
        <v>1087.5899999999999</v>
      </c>
      <c r="F50" s="1">
        <f t="shared" si="22"/>
        <v>4.18</v>
      </c>
      <c r="G50" s="1">
        <f>ROUND(SUM(G39:G49)/COUNTA(G39:G49),2)</f>
        <v>953.1</v>
      </c>
      <c r="H50" s="1">
        <f>ROUND(SUM(H39:H49)/COUNTA(H39:H49),2)</f>
        <v>3</v>
      </c>
      <c r="I50" s="1">
        <f>ROUND(SUM(I39:I49)/COUNTA(I39:I49),2)</f>
        <v>1019.87</v>
      </c>
      <c r="J50" s="1">
        <f t="shared" si="22"/>
        <v>2.73</v>
      </c>
      <c r="K50" s="1">
        <f t="shared" si="22"/>
        <v>951.03</v>
      </c>
      <c r="L50" s="21"/>
      <c r="M50" s="22"/>
      <c r="N50" s="22"/>
      <c r="O50" s="22"/>
      <c r="P50" s="22"/>
      <c r="Q50" s="23"/>
      <c r="R50" s="15"/>
      <c r="S50" s="16"/>
      <c r="T50" s="17"/>
      <c r="U50" s="15"/>
      <c r="V50" s="16"/>
      <c r="W50" s="17"/>
    </row>
    <row r="51" spans="1:23" ht="18" customHeight="1" thickBot="1">
      <c r="A51" s="8" t="s">
        <v>74</v>
      </c>
      <c r="B51" s="21" t="str">
        <f>COUNTA(A52:A59) &amp; " 筆"</f>
        <v>8 筆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3"/>
      <c r="R51" s="1">
        <v>5</v>
      </c>
      <c r="S51" s="1">
        <v>0</v>
      </c>
      <c r="T51" s="1">
        <v>3</v>
      </c>
      <c r="U51" s="1">
        <v>5</v>
      </c>
      <c r="V51" s="1">
        <v>0</v>
      </c>
      <c r="W51" s="1">
        <v>3</v>
      </c>
    </row>
    <row r="52" spans="1:23" ht="17.25" outlineLevel="1" thickBot="1">
      <c r="A52" s="5" t="s">
        <v>42</v>
      </c>
      <c r="B52" s="1">
        <v>16</v>
      </c>
      <c r="C52" s="1">
        <v>1828</v>
      </c>
      <c r="D52" s="1">
        <v>16</v>
      </c>
      <c r="E52" s="1">
        <v>1656.59</v>
      </c>
      <c r="F52" s="2">
        <v>16</v>
      </c>
      <c r="G52" s="2">
        <v>1652.36</v>
      </c>
      <c r="H52" s="2">
        <v>15</v>
      </c>
      <c r="I52" s="2">
        <v>1687.93</v>
      </c>
      <c r="J52" s="1">
        <v>14</v>
      </c>
      <c r="K52" s="1">
        <v>1696.95</v>
      </c>
      <c r="L52" s="1">
        <f t="shared" ref="L52:L59" si="23">ROUND(((F52-D52)/D52)*100,2)</f>
        <v>0</v>
      </c>
      <c r="M52" s="1">
        <f t="shared" ref="M52:M59" si="24">ROUND(((G52-E52)/E52)*100,2)</f>
        <v>-0.26</v>
      </c>
      <c r="N52" s="1">
        <f t="shared" si="4"/>
        <v>-6.25</v>
      </c>
      <c r="O52" s="1">
        <f t="shared" si="5"/>
        <v>1.89</v>
      </c>
      <c r="P52" s="1">
        <f t="shared" ref="P52:P59" si="25">ROUND(((F52-J52)/J52)*100,2)</f>
        <v>14.29</v>
      </c>
      <c r="Q52" s="1">
        <f t="shared" ref="Q52:Q59" si="26">ROUND(((G52-K52)/K52)*100,2)</f>
        <v>-2.63</v>
      </c>
      <c r="R52" s="9"/>
      <c r="S52" s="10"/>
      <c r="T52" s="11"/>
      <c r="U52" s="9"/>
      <c r="V52" s="10"/>
      <c r="W52" s="11"/>
    </row>
    <row r="53" spans="1:23" ht="17.25" outlineLevel="1" thickBot="1">
      <c r="A53" s="5" t="s">
        <v>43</v>
      </c>
      <c r="B53" s="1">
        <v>15</v>
      </c>
      <c r="C53" s="1">
        <v>1671.75</v>
      </c>
      <c r="D53" s="1">
        <v>13</v>
      </c>
      <c r="E53" s="1">
        <v>1532.25</v>
      </c>
      <c r="F53" s="3">
        <v>14</v>
      </c>
      <c r="G53" s="3">
        <v>1486.88</v>
      </c>
      <c r="H53" s="2">
        <v>13</v>
      </c>
      <c r="I53" s="2">
        <v>1507.94</v>
      </c>
      <c r="J53" s="1">
        <v>12</v>
      </c>
      <c r="K53" s="1">
        <v>1554.75</v>
      </c>
      <c r="L53" s="1">
        <f t="shared" si="23"/>
        <v>7.69</v>
      </c>
      <c r="M53" s="1">
        <f t="shared" si="24"/>
        <v>-2.96</v>
      </c>
      <c r="N53" s="1">
        <f t="shared" si="4"/>
        <v>0</v>
      </c>
      <c r="O53" s="1">
        <f t="shared" si="5"/>
        <v>-1.59</v>
      </c>
      <c r="P53" s="1">
        <f t="shared" si="25"/>
        <v>16.670000000000002</v>
      </c>
      <c r="Q53" s="1">
        <f t="shared" si="26"/>
        <v>-4.37</v>
      </c>
      <c r="R53" s="12"/>
      <c r="S53" s="13"/>
      <c r="T53" s="14"/>
      <c r="U53" s="12"/>
      <c r="V53" s="13"/>
      <c r="W53" s="14"/>
    </row>
    <row r="54" spans="1:23" ht="17.25" outlineLevel="1" thickBot="1">
      <c r="A54" s="5" t="s">
        <v>44</v>
      </c>
      <c r="B54" s="1">
        <v>13</v>
      </c>
      <c r="C54" s="1">
        <v>1417.78</v>
      </c>
      <c r="D54" s="1">
        <v>12</v>
      </c>
      <c r="E54" s="1">
        <v>1344.03</v>
      </c>
      <c r="F54" s="2">
        <v>12</v>
      </c>
      <c r="G54" s="2">
        <v>1297.3499999999999</v>
      </c>
      <c r="H54" s="2">
        <v>11</v>
      </c>
      <c r="I54" s="2">
        <v>1516.36</v>
      </c>
      <c r="J54" s="1">
        <v>11</v>
      </c>
      <c r="K54" s="1">
        <v>1261.67</v>
      </c>
      <c r="L54" s="1">
        <f t="shared" si="23"/>
        <v>0</v>
      </c>
      <c r="M54" s="1">
        <f t="shared" si="24"/>
        <v>-3.47</v>
      </c>
      <c r="N54" s="1">
        <f t="shared" si="4"/>
        <v>-8.33</v>
      </c>
      <c r="O54" s="1">
        <f t="shared" si="5"/>
        <v>12.82</v>
      </c>
      <c r="P54" s="1">
        <f t="shared" si="25"/>
        <v>9.09</v>
      </c>
      <c r="Q54" s="1">
        <f t="shared" si="26"/>
        <v>2.83</v>
      </c>
      <c r="R54" s="12"/>
      <c r="S54" s="13"/>
      <c r="T54" s="14"/>
      <c r="U54" s="12"/>
      <c r="V54" s="13"/>
      <c r="W54" s="14"/>
    </row>
    <row r="55" spans="1:23" ht="17.25" outlineLevel="1" thickBot="1">
      <c r="A55" s="5" t="s">
        <v>45</v>
      </c>
      <c r="B55" s="1">
        <v>12</v>
      </c>
      <c r="C55" s="1">
        <v>1312.42</v>
      </c>
      <c r="D55" s="1">
        <v>11</v>
      </c>
      <c r="E55" s="1">
        <v>1184.9000000000001</v>
      </c>
      <c r="F55" s="2">
        <v>10</v>
      </c>
      <c r="G55" s="2">
        <v>1173.68</v>
      </c>
      <c r="H55" s="2">
        <v>10</v>
      </c>
      <c r="I55" s="2">
        <v>1336.1</v>
      </c>
      <c r="J55" s="1">
        <v>10</v>
      </c>
      <c r="K55" s="1">
        <v>1135.48</v>
      </c>
      <c r="L55" s="1">
        <f t="shared" si="23"/>
        <v>-9.09</v>
      </c>
      <c r="M55" s="1">
        <f t="shared" si="24"/>
        <v>-0.95</v>
      </c>
      <c r="N55" s="1">
        <f t="shared" si="4"/>
        <v>-9.09</v>
      </c>
      <c r="O55" s="1">
        <f t="shared" si="5"/>
        <v>12.76</v>
      </c>
      <c r="P55" s="1">
        <f t="shared" si="25"/>
        <v>0</v>
      </c>
      <c r="Q55" s="1">
        <f t="shared" si="26"/>
        <v>3.36</v>
      </c>
      <c r="R55" s="12"/>
      <c r="S55" s="13"/>
      <c r="T55" s="14"/>
      <c r="U55" s="12"/>
      <c r="V55" s="13"/>
      <c r="W55" s="14"/>
    </row>
    <row r="56" spans="1:23" ht="17.25" outlineLevel="1" thickBot="1">
      <c r="A56" s="5" t="s">
        <v>46</v>
      </c>
      <c r="B56" s="1">
        <v>17</v>
      </c>
      <c r="C56" s="1">
        <v>1751.5</v>
      </c>
      <c r="D56" s="1">
        <v>14</v>
      </c>
      <c r="E56" s="1">
        <v>1662.01</v>
      </c>
      <c r="F56" s="3">
        <v>15</v>
      </c>
      <c r="G56" s="3">
        <v>1555.81</v>
      </c>
      <c r="H56" s="3">
        <v>14</v>
      </c>
      <c r="I56" s="3">
        <v>1902.43</v>
      </c>
      <c r="J56" s="1">
        <v>13</v>
      </c>
      <c r="K56" s="1">
        <v>1629.44</v>
      </c>
      <c r="L56" s="1">
        <f t="shared" si="23"/>
        <v>7.14</v>
      </c>
      <c r="M56" s="1">
        <f t="shared" si="24"/>
        <v>-6.39</v>
      </c>
      <c r="N56" s="1">
        <f t="shared" si="4"/>
        <v>0</v>
      </c>
      <c r="O56" s="1">
        <f t="shared" si="5"/>
        <v>14.47</v>
      </c>
      <c r="P56" s="1">
        <f t="shared" si="25"/>
        <v>15.38</v>
      </c>
      <c r="Q56" s="1">
        <f t="shared" si="26"/>
        <v>-4.5199999999999996</v>
      </c>
      <c r="R56" s="12"/>
      <c r="S56" s="13"/>
      <c r="T56" s="14"/>
      <c r="U56" s="12"/>
      <c r="V56" s="13"/>
      <c r="W56" s="14"/>
    </row>
    <row r="57" spans="1:23" ht="17.25" outlineLevel="1" thickBot="1">
      <c r="A57" s="5" t="s">
        <v>47</v>
      </c>
      <c r="B57" s="1">
        <v>14</v>
      </c>
      <c r="C57" s="1">
        <v>1597.59</v>
      </c>
      <c r="D57" s="1">
        <v>12</v>
      </c>
      <c r="E57" s="1">
        <v>1344.03</v>
      </c>
      <c r="F57" s="3">
        <v>13</v>
      </c>
      <c r="G57" s="3">
        <v>1405.73</v>
      </c>
      <c r="H57" s="3">
        <v>12</v>
      </c>
      <c r="I57" s="3">
        <v>1663.23</v>
      </c>
      <c r="J57" s="1">
        <v>11</v>
      </c>
      <c r="K57" s="1">
        <v>1424.73</v>
      </c>
      <c r="L57" s="1">
        <f t="shared" si="23"/>
        <v>8.33</v>
      </c>
      <c r="M57" s="1">
        <f t="shared" si="24"/>
        <v>4.59</v>
      </c>
      <c r="N57" s="1">
        <f t="shared" si="4"/>
        <v>0</v>
      </c>
      <c r="O57" s="1">
        <f t="shared" si="5"/>
        <v>23.75</v>
      </c>
      <c r="P57" s="1">
        <f t="shared" si="25"/>
        <v>18.18</v>
      </c>
      <c r="Q57" s="1">
        <f t="shared" si="26"/>
        <v>-1.33</v>
      </c>
      <c r="R57" s="12"/>
      <c r="S57" s="13"/>
      <c r="T57" s="14"/>
      <c r="U57" s="12"/>
      <c r="V57" s="13"/>
      <c r="W57" s="14"/>
    </row>
    <row r="58" spans="1:23" ht="17.25" outlineLevel="1" thickBot="1">
      <c r="A58" s="5" t="s">
        <v>48</v>
      </c>
      <c r="B58" s="1">
        <v>13</v>
      </c>
      <c r="C58" s="1">
        <v>1519.67</v>
      </c>
      <c r="D58" s="1">
        <v>12</v>
      </c>
      <c r="E58" s="1">
        <v>1263.07</v>
      </c>
      <c r="F58" s="2">
        <v>12</v>
      </c>
      <c r="G58" s="2">
        <v>1251.25</v>
      </c>
      <c r="H58" s="2">
        <v>11</v>
      </c>
      <c r="I58" s="2">
        <v>1529.97</v>
      </c>
      <c r="J58" s="1">
        <v>11</v>
      </c>
      <c r="K58" s="1">
        <v>1230.48</v>
      </c>
      <c r="L58" s="1">
        <f t="shared" si="23"/>
        <v>0</v>
      </c>
      <c r="M58" s="1">
        <f t="shared" si="24"/>
        <v>-0.94</v>
      </c>
      <c r="N58" s="1">
        <f t="shared" si="4"/>
        <v>-8.33</v>
      </c>
      <c r="O58" s="1">
        <f t="shared" si="5"/>
        <v>21.13</v>
      </c>
      <c r="P58" s="1">
        <f t="shared" si="25"/>
        <v>9.09</v>
      </c>
      <c r="Q58" s="1">
        <f t="shared" si="26"/>
        <v>1.69</v>
      </c>
      <c r="R58" s="12"/>
      <c r="S58" s="13"/>
      <c r="T58" s="14"/>
      <c r="U58" s="12"/>
      <c r="V58" s="13"/>
      <c r="W58" s="14"/>
    </row>
    <row r="59" spans="1:23" ht="17.25" outlineLevel="1" thickBot="1">
      <c r="A59" s="5" t="s">
        <v>49</v>
      </c>
      <c r="B59" s="1">
        <v>12</v>
      </c>
      <c r="C59" s="1">
        <v>1376.49</v>
      </c>
      <c r="D59" s="1">
        <v>11</v>
      </c>
      <c r="E59" s="1">
        <v>1144.94</v>
      </c>
      <c r="F59" s="2">
        <v>11</v>
      </c>
      <c r="G59" s="2">
        <v>1140.6600000000001</v>
      </c>
      <c r="H59" s="3">
        <v>11</v>
      </c>
      <c r="I59" s="3">
        <v>1145.69</v>
      </c>
      <c r="J59" s="1">
        <v>10</v>
      </c>
      <c r="K59" s="1">
        <v>1139.82</v>
      </c>
      <c r="L59" s="1">
        <f t="shared" si="23"/>
        <v>0</v>
      </c>
      <c r="M59" s="1">
        <f t="shared" si="24"/>
        <v>-0.37</v>
      </c>
      <c r="N59" s="1">
        <f t="shared" si="4"/>
        <v>0</v>
      </c>
      <c r="O59" s="1">
        <f t="shared" si="5"/>
        <v>7.0000000000000007E-2</v>
      </c>
      <c r="P59" s="1">
        <f t="shared" si="25"/>
        <v>10</v>
      </c>
      <c r="Q59" s="1">
        <f t="shared" si="26"/>
        <v>7.0000000000000007E-2</v>
      </c>
      <c r="R59" s="12"/>
      <c r="S59" s="13"/>
      <c r="T59" s="14"/>
      <c r="U59" s="12"/>
      <c r="V59" s="13"/>
      <c r="W59" s="14"/>
    </row>
    <row r="60" spans="1:23" ht="17.25" outlineLevel="1" thickBot="1">
      <c r="A60" s="6" t="s">
        <v>76</v>
      </c>
      <c r="B60" s="1">
        <f>ROUND(SUM(B52:B59)/COUNTA(B52:B59),2)</f>
        <v>14</v>
      </c>
      <c r="C60" s="1">
        <f t="shared" ref="C60:K60" si="27">ROUND(SUM(C52:C59)/COUNTA(C52:C59),2)</f>
        <v>1559.4</v>
      </c>
      <c r="D60" s="1">
        <f t="shared" si="27"/>
        <v>12.63</v>
      </c>
      <c r="E60" s="1">
        <f t="shared" si="27"/>
        <v>1391.48</v>
      </c>
      <c r="F60" s="1">
        <f t="shared" si="27"/>
        <v>12.88</v>
      </c>
      <c r="G60" s="1">
        <f t="shared" si="27"/>
        <v>1370.47</v>
      </c>
      <c r="H60" s="1">
        <f t="shared" ref="H60" si="28">ROUND(SUM(H52:H59)/COUNTA(H52:H59),2)</f>
        <v>12.13</v>
      </c>
      <c r="I60" s="1">
        <f t="shared" ref="I60" si="29">ROUND(SUM(I52:I59)/COUNTA(I52:I59),2)</f>
        <v>1536.21</v>
      </c>
      <c r="J60" s="1">
        <f t="shared" si="27"/>
        <v>11.5</v>
      </c>
      <c r="K60" s="1">
        <f t="shared" si="27"/>
        <v>1384.17</v>
      </c>
      <c r="L60" s="21"/>
      <c r="M60" s="22"/>
      <c r="N60" s="22"/>
      <c r="O60" s="22"/>
      <c r="P60" s="22"/>
      <c r="Q60" s="23"/>
      <c r="R60" s="15"/>
      <c r="S60" s="16"/>
      <c r="T60" s="17"/>
      <c r="U60" s="15"/>
      <c r="V60" s="16"/>
      <c r="W60" s="17"/>
    </row>
    <row r="61" spans="1:23" ht="17.25" thickBot="1">
      <c r="A61" s="8" t="s">
        <v>75</v>
      </c>
      <c r="B61" s="21" t="str">
        <f>COUNTA(A62:A69) &amp; " 筆"</f>
        <v>8 筆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3"/>
      <c r="R61" s="1">
        <v>1</v>
      </c>
      <c r="S61" s="1">
        <v>0</v>
      </c>
      <c r="T61" s="1">
        <v>7</v>
      </c>
      <c r="U61" s="1">
        <v>4</v>
      </c>
      <c r="V61" s="1">
        <v>0</v>
      </c>
      <c r="W61" s="1">
        <v>4</v>
      </c>
    </row>
    <row r="62" spans="1:23" ht="17.25" outlineLevel="1" thickBot="1">
      <c r="A62" s="5" t="s">
        <v>50</v>
      </c>
      <c r="B62" s="1">
        <v>5</v>
      </c>
      <c r="C62" s="1">
        <v>1892.21</v>
      </c>
      <c r="D62" s="1">
        <v>4</v>
      </c>
      <c r="E62" s="1">
        <v>1442.28</v>
      </c>
      <c r="F62" s="3">
        <v>6</v>
      </c>
      <c r="G62" s="3">
        <v>1389.68</v>
      </c>
      <c r="H62" s="3">
        <v>4</v>
      </c>
      <c r="I62" s="3">
        <v>1465.57</v>
      </c>
      <c r="J62" s="1">
        <v>4</v>
      </c>
      <c r="K62" s="1">
        <v>1406.94</v>
      </c>
      <c r="L62" s="1">
        <f t="shared" ref="L62:M69" si="30">ROUND(((F62-D62)/D62)*100,2)</f>
        <v>50</v>
      </c>
      <c r="M62" s="1">
        <f t="shared" si="30"/>
        <v>-3.65</v>
      </c>
      <c r="N62" s="1">
        <f t="shared" si="4"/>
        <v>0</v>
      </c>
      <c r="O62" s="1">
        <f t="shared" si="5"/>
        <v>1.61</v>
      </c>
      <c r="P62" s="1">
        <f t="shared" ref="P62:Q69" si="31">ROUND(((F62-J62)/J62)*100,2)</f>
        <v>50</v>
      </c>
      <c r="Q62" s="1">
        <f t="shared" si="31"/>
        <v>-1.23</v>
      </c>
      <c r="R62" s="9"/>
      <c r="S62" s="10"/>
      <c r="T62" s="11"/>
      <c r="U62" s="9"/>
      <c r="V62" s="10"/>
      <c r="W62" s="11"/>
    </row>
    <row r="63" spans="1:23" ht="17.25" outlineLevel="1" thickBot="1">
      <c r="A63" s="5" t="s">
        <v>51</v>
      </c>
      <c r="B63" s="1">
        <v>4</v>
      </c>
      <c r="C63" s="1">
        <v>1843.2</v>
      </c>
      <c r="D63" s="1">
        <v>4</v>
      </c>
      <c r="E63" s="1">
        <v>1212.49</v>
      </c>
      <c r="F63" s="3">
        <v>6</v>
      </c>
      <c r="G63" s="3">
        <v>1225.8699999999999</v>
      </c>
      <c r="H63" s="3">
        <v>4</v>
      </c>
      <c r="I63" s="3">
        <v>1251.74</v>
      </c>
      <c r="J63" s="1">
        <v>3</v>
      </c>
      <c r="K63" s="1">
        <v>1365.65</v>
      </c>
      <c r="L63" s="1">
        <f t="shared" si="30"/>
        <v>50</v>
      </c>
      <c r="M63" s="1">
        <f t="shared" si="30"/>
        <v>1.1000000000000001</v>
      </c>
      <c r="N63" s="1">
        <f t="shared" si="4"/>
        <v>0</v>
      </c>
      <c r="O63" s="1">
        <f t="shared" si="5"/>
        <v>3.24</v>
      </c>
      <c r="P63" s="1">
        <f t="shared" si="31"/>
        <v>100</v>
      </c>
      <c r="Q63" s="1">
        <f t="shared" si="31"/>
        <v>-10.24</v>
      </c>
      <c r="R63" s="12"/>
      <c r="S63" s="13"/>
      <c r="T63" s="14"/>
      <c r="U63" s="12"/>
      <c r="V63" s="13"/>
      <c r="W63" s="14"/>
    </row>
    <row r="64" spans="1:23" ht="17.25" outlineLevel="1" thickBot="1">
      <c r="A64" s="5" t="s">
        <v>52</v>
      </c>
      <c r="B64" s="1">
        <v>4</v>
      </c>
      <c r="C64" s="1">
        <v>1514.02</v>
      </c>
      <c r="D64" s="1">
        <v>3</v>
      </c>
      <c r="E64" s="1">
        <v>1197.67</v>
      </c>
      <c r="F64" s="3">
        <v>5</v>
      </c>
      <c r="G64" s="3">
        <v>1021.41</v>
      </c>
      <c r="H64" s="2">
        <v>3</v>
      </c>
      <c r="I64" s="2">
        <v>1134.53</v>
      </c>
      <c r="J64" s="1">
        <v>3</v>
      </c>
      <c r="K64" s="1">
        <v>1049.6199999999999</v>
      </c>
      <c r="L64" s="1">
        <f t="shared" si="30"/>
        <v>66.67</v>
      </c>
      <c r="M64" s="1">
        <f t="shared" si="30"/>
        <v>-14.72</v>
      </c>
      <c r="N64" s="1">
        <f t="shared" si="4"/>
        <v>0</v>
      </c>
      <c r="O64" s="1">
        <f t="shared" si="5"/>
        <v>-5.27</v>
      </c>
      <c r="P64" s="1">
        <f t="shared" si="31"/>
        <v>66.67</v>
      </c>
      <c r="Q64" s="1">
        <f t="shared" si="31"/>
        <v>-2.69</v>
      </c>
      <c r="R64" s="12"/>
      <c r="S64" s="13"/>
      <c r="T64" s="14"/>
      <c r="U64" s="12"/>
      <c r="V64" s="13"/>
      <c r="W64" s="14"/>
    </row>
    <row r="65" spans="1:23" ht="17.25" outlineLevel="1" thickBot="1">
      <c r="A65" s="5" t="s">
        <v>53</v>
      </c>
      <c r="B65" s="1">
        <v>3</v>
      </c>
      <c r="C65" s="1">
        <v>1196.08</v>
      </c>
      <c r="D65" s="1">
        <v>10</v>
      </c>
      <c r="E65" s="1">
        <v>854.31</v>
      </c>
      <c r="F65" s="2">
        <v>4</v>
      </c>
      <c r="G65" s="2">
        <v>842.82</v>
      </c>
      <c r="H65" s="2">
        <v>3</v>
      </c>
      <c r="I65" s="2">
        <v>817.78</v>
      </c>
      <c r="J65" s="1">
        <v>3</v>
      </c>
      <c r="K65" s="1">
        <v>798.46</v>
      </c>
      <c r="L65" s="1">
        <f t="shared" si="30"/>
        <v>-60</v>
      </c>
      <c r="M65" s="1">
        <f t="shared" si="30"/>
        <v>-1.34</v>
      </c>
      <c r="N65" s="1">
        <f t="shared" si="4"/>
        <v>-70</v>
      </c>
      <c r="O65" s="1">
        <f t="shared" si="5"/>
        <v>-4.28</v>
      </c>
      <c r="P65" s="1">
        <f t="shared" si="31"/>
        <v>33.33</v>
      </c>
      <c r="Q65" s="1">
        <f t="shared" si="31"/>
        <v>5.56</v>
      </c>
      <c r="R65" s="12"/>
      <c r="S65" s="13"/>
      <c r="T65" s="14"/>
      <c r="U65" s="12"/>
      <c r="V65" s="13"/>
      <c r="W65" s="14"/>
    </row>
    <row r="66" spans="1:23" ht="17.25" outlineLevel="1" thickBot="1">
      <c r="A66" s="5" t="s">
        <v>54</v>
      </c>
      <c r="B66" s="1">
        <v>5</v>
      </c>
      <c r="C66" s="1">
        <v>1981.75</v>
      </c>
      <c r="D66" s="1">
        <v>4</v>
      </c>
      <c r="E66" s="1">
        <v>1337.65</v>
      </c>
      <c r="F66" s="3">
        <v>6</v>
      </c>
      <c r="G66" s="3">
        <v>1288.45</v>
      </c>
      <c r="H66" s="3">
        <v>4</v>
      </c>
      <c r="I66" s="3">
        <v>1379.81</v>
      </c>
      <c r="J66" s="1">
        <v>4</v>
      </c>
      <c r="K66" s="1">
        <v>1297.6500000000001</v>
      </c>
      <c r="L66" s="1">
        <f t="shared" si="30"/>
        <v>50</v>
      </c>
      <c r="M66" s="1">
        <f t="shared" si="30"/>
        <v>-3.68</v>
      </c>
      <c r="N66" s="1">
        <f t="shared" si="4"/>
        <v>0</v>
      </c>
      <c r="O66" s="1">
        <f t="shared" si="5"/>
        <v>3.15</v>
      </c>
      <c r="P66" s="1">
        <f t="shared" si="31"/>
        <v>50</v>
      </c>
      <c r="Q66" s="1">
        <f t="shared" si="31"/>
        <v>-0.71</v>
      </c>
      <c r="R66" s="12"/>
      <c r="S66" s="13"/>
      <c r="T66" s="14"/>
      <c r="U66" s="12"/>
      <c r="V66" s="13"/>
      <c r="W66" s="14"/>
    </row>
    <row r="67" spans="1:23" ht="17.25" outlineLevel="1" thickBot="1">
      <c r="A67" s="5" t="s">
        <v>55</v>
      </c>
      <c r="B67" s="1">
        <v>4</v>
      </c>
      <c r="C67" s="1">
        <v>1644.44</v>
      </c>
      <c r="D67" s="1">
        <v>4</v>
      </c>
      <c r="E67" s="1">
        <v>1114.76</v>
      </c>
      <c r="F67" s="3">
        <v>4</v>
      </c>
      <c r="G67" s="3">
        <v>1234.22</v>
      </c>
      <c r="H67" s="2">
        <v>3</v>
      </c>
      <c r="I67" s="2">
        <v>1265.18</v>
      </c>
      <c r="J67" s="1">
        <v>3</v>
      </c>
      <c r="K67" s="1">
        <v>1146.32</v>
      </c>
      <c r="L67" s="1">
        <f t="shared" si="30"/>
        <v>0</v>
      </c>
      <c r="M67" s="1">
        <f t="shared" si="30"/>
        <v>10.72</v>
      </c>
      <c r="N67" s="1">
        <f t="shared" si="4"/>
        <v>-25</v>
      </c>
      <c r="O67" s="1">
        <f t="shared" si="5"/>
        <v>13.49</v>
      </c>
      <c r="P67" s="1">
        <f t="shared" si="31"/>
        <v>33.33</v>
      </c>
      <c r="Q67" s="1">
        <f t="shared" si="31"/>
        <v>7.67</v>
      </c>
      <c r="R67" s="12"/>
      <c r="S67" s="13"/>
      <c r="T67" s="14"/>
      <c r="U67" s="12"/>
      <c r="V67" s="13"/>
      <c r="W67" s="14"/>
    </row>
    <row r="68" spans="1:23" ht="17.25" outlineLevel="1" thickBot="1">
      <c r="A68" s="5" t="s">
        <v>56</v>
      </c>
      <c r="B68" s="1">
        <v>4</v>
      </c>
      <c r="C68" s="1">
        <v>1599.2</v>
      </c>
      <c r="D68" s="1">
        <v>4</v>
      </c>
      <c r="E68" s="1">
        <v>1055.71</v>
      </c>
      <c r="F68" s="3">
        <v>4</v>
      </c>
      <c r="G68" s="3">
        <v>1134.8699999999999</v>
      </c>
      <c r="H68" s="2">
        <v>3</v>
      </c>
      <c r="I68" s="2">
        <v>1117.1400000000001</v>
      </c>
      <c r="J68" s="1">
        <v>3</v>
      </c>
      <c r="K68" s="1">
        <v>1061.1400000000001</v>
      </c>
      <c r="L68" s="1">
        <f t="shared" si="30"/>
        <v>0</v>
      </c>
      <c r="M68" s="1">
        <f t="shared" si="30"/>
        <v>7.5</v>
      </c>
      <c r="N68" s="1">
        <f t="shared" si="4"/>
        <v>-25</v>
      </c>
      <c r="O68" s="1">
        <f t="shared" si="5"/>
        <v>5.82</v>
      </c>
      <c r="P68" s="1">
        <f t="shared" si="31"/>
        <v>33.33</v>
      </c>
      <c r="Q68" s="1">
        <f t="shared" si="31"/>
        <v>6.95</v>
      </c>
      <c r="R68" s="12"/>
      <c r="S68" s="13"/>
      <c r="T68" s="14"/>
      <c r="U68" s="12"/>
      <c r="V68" s="13"/>
      <c r="W68" s="14"/>
    </row>
    <row r="69" spans="1:23" ht="17.25" customHeight="1" outlineLevel="1" thickBot="1">
      <c r="A69" s="5" t="s">
        <v>57</v>
      </c>
      <c r="B69" s="1">
        <v>3</v>
      </c>
      <c r="C69" s="1">
        <v>1203.03</v>
      </c>
      <c r="D69" s="1">
        <v>3</v>
      </c>
      <c r="E69" s="1">
        <v>860.53</v>
      </c>
      <c r="F69" s="3">
        <v>3</v>
      </c>
      <c r="G69" s="3">
        <v>892.49</v>
      </c>
      <c r="H69" s="3">
        <v>3</v>
      </c>
      <c r="I69" s="3">
        <v>870.55</v>
      </c>
      <c r="J69" s="1">
        <v>3</v>
      </c>
      <c r="K69" s="1">
        <v>828.14</v>
      </c>
      <c r="L69" s="1">
        <f t="shared" si="30"/>
        <v>0</v>
      </c>
      <c r="M69" s="1">
        <f t="shared" si="30"/>
        <v>3.71</v>
      </c>
      <c r="N69" s="1">
        <f t="shared" ref="N69:O69" si="32">ROUND(((H69-D69)/D69)*100,2)</f>
        <v>0</v>
      </c>
      <c r="O69" s="1">
        <f t="shared" si="32"/>
        <v>1.1599999999999999</v>
      </c>
      <c r="P69" s="1">
        <f t="shared" si="31"/>
        <v>0</v>
      </c>
      <c r="Q69" s="1">
        <f t="shared" si="31"/>
        <v>7.77</v>
      </c>
      <c r="R69" s="12"/>
      <c r="S69" s="13"/>
      <c r="T69" s="14"/>
      <c r="U69" s="12"/>
      <c r="V69" s="13"/>
      <c r="W69" s="14"/>
    </row>
    <row r="70" spans="1:23" ht="17.25" customHeight="1" outlineLevel="1" thickBot="1">
      <c r="A70" s="6" t="s">
        <v>76</v>
      </c>
      <c r="B70" s="1">
        <f>ROUND(SUM(B62:B69)/COUNTA(B62:B69),2)</f>
        <v>4</v>
      </c>
      <c r="C70" s="1">
        <f t="shared" ref="C70:K70" si="33">ROUND(SUM(C62:C69)/COUNTA(C62:C69),2)</f>
        <v>1609.24</v>
      </c>
      <c r="D70" s="1">
        <f t="shared" si="33"/>
        <v>4.5</v>
      </c>
      <c r="E70" s="1">
        <f t="shared" si="33"/>
        <v>1134.43</v>
      </c>
      <c r="F70" s="1">
        <f t="shared" si="33"/>
        <v>4.75</v>
      </c>
      <c r="G70" s="1">
        <f t="shared" si="33"/>
        <v>1128.73</v>
      </c>
      <c r="H70" s="1">
        <f t="shared" ref="H70" si="34">ROUND(SUM(H62:H69)/COUNTA(H62:H69),2)</f>
        <v>3.38</v>
      </c>
      <c r="I70" s="1">
        <f t="shared" ref="I70" si="35">ROUND(SUM(I62:I69)/COUNTA(I62:I69),2)</f>
        <v>1162.79</v>
      </c>
      <c r="J70" s="1">
        <f t="shared" si="33"/>
        <v>3.25</v>
      </c>
      <c r="K70" s="1">
        <f t="shared" si="33"/>
        <v>1119.24</v>
      </c>
      <c r="L70" s="21"/>
      <c r="M70" s="22"/>
      <c r="N70" s="22"/>
      <c r="O70" s="22"/>
      <c r="P70" s="22"/>
      <c r="Q70" s="23"/>
      <c r="R70" s="15"/>
      <c r="S70" s="16"/>
      <c r="T70" s="17"/>
      <c r="U70" s="15"/>
      <c r="V70" s="16"/>
      <c r="W70" s="17"/>
    </row>
    <row r="71" spans="1:23" ht="15.75" customHeight="1" thickBot="1">
      <c r="A71" s="6" t="s">
        <v>69</v>
      </c>
      <c r="B71" s="21" t="str">
        <f>"總共 " &amp; SUM(R71:T71) &amp; " 筆"</f>
        <v>總共 56 筆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3"/>
      <c r="R71" s="1">
        <f t="shared" ref="R71:W71" si="36">R3+R14+R24+R38+R51+R61</f>
        <v>22</v>
      </c>
      <c r="S71" s="1">
        <f t="shared" si="36"/>
        <v>12</v>
      </c>
      <c r="T71" s="1">
        <f t="shared" si="36"/>
        <v>22</v>
      </c>
      <c r="U71" s="1">
        <f t="shared" si="36"/>
        <v>25</v>
      </c>
      <c r="V71" s="1">
        <f t="shared" si="36"/>
        <v>12</v>
      </c>
      <c r="W71" s="1">
        <f t="shared" si="36"/>
        <v>19</v>
      </c>
    </row>
  </sheetData>
  <mergeCells count="35">
    <mergeCell ref="L13:Q13"/>
    <mergeCell ref="R4:T13"/>
    <mergeCell ref="R15:T23"/>
    <mergeCell ref="B71:Q71"/>
    <mergeCell ref="B38:Q38"/>
    <mergeCell ref="B51:Q51"/>
    <mergeCell ref="B61:Q61"/>
    <mergeCell ref="B14:Q14"/>
    <mergeCell ref="B24:Q24"/>
    <mergeCell ref="L23:Q23"/>
    <mergeCell ref="L70:Q70"/>
    <mergeCell ref="R1:T1"/>
    <mergeCell ref="B3:Q3"/>
    <mergeCell ref="P1:Q1"/>
    <mergeCell ref="L1:M1"/>
    <mergeCell ref="B1:C1"/>
    <mergeCell ref="D1:E1"/>
    <mergeCell ref="F1:G1"/>
    <mergeCell ref="J1:K1"/>
    <mergeCell ref="R62:T70"/>
    <mergeCell ref="H1:I1"/>
    <mergeCell ref="U1:W1"/>
    <mergeCell ref="U4:W13"/>
    <mergeCell ref="U15:W23"/>
    <mergeCell ref="U25:W37"/>
    <mergeCell ref="U39:W50"/>
    <mergeCell ref="U52:W60"/>
    <mergeCell ref="U62:W70"/>
    <mergeCell ref="N1:O1"/>
    <mergeCell ref="L37:Q37"/>
    <mergeCell ref="R25:T37"/>
    <mergeCell ref="L50:Q50"/>
    <mergeCell ref="R39:T50"/>
    <mergeCell ref="L60:Q60"/>
    <mergeCell ref="R52:T6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BE11-689F-4F20-B9C8-AF036BD8E39C}">
  <dimension ref="A1:E70"/>
  <sheetViews>
    <sheetView workbookViewId="0">
      <selection activeCell="E71" sqref="E71"/>
    </sheetView>
  </sheetViews>
  <sheetFormatPr defaultRowHeight="16.5" outlineLevelRow="1"/>
  <cols>
    <col min="2" max="2" width="7.25" customWidth="1"/>
    <col min="3" max="3" width="7.25" bestFit="1" customWidth="1"/>
    <col min="4" max="4" width="5.5" bestFit="1" customWidth="1"/>
    <col min="5" max="5" width="7.25" bestFit="1" customWidth="1"/>
  </cols>
  <sheetData>
    <row r="1" spans="1:5" ht="17.25" thickBot="1">
      <c r="B1" s="20" t="s">
        <v>61</v>
      </c>
      <c r="C1" s="19"/>
      <c r="D1" s="18" t="s">
        <v>81</v>
      </c>
      <c r="E1" s="19"/>
    </row>
    <row r="2" spans="1:5" ht="17.25" thickBot="1">
      <c r="A2" s="5" t="s">
        <v>1</v>
      </c>
      <c r="B2" s="4" t="s">
        <v>58</v>
      </c>
      <c r="C2" s="4" t="s">
        <v>80</v>
      </c>
      <c r="D2" s="5" t="s">
        <v>58</v>
      </c>
      <c r="E2" s="5" t="s">
        <v>82</v>
      </c>
    </row>
    <row r="3" spans="1:5" ht="17.25" thickBot="1">
      <c r="A3" s="6" t="s">
        <v>70</v>
      </c>
      <c r="B3" s="21">
        <f>COUNTA(A4:A12)</f>
        <v>9</v>
      </c>
      <c r="C3" s="22"/>
      <c r="D3" s="22"/>
      <c r="E3" s="23"/>
    </row>
    <row r="4" spans="1:5" ht="17.25" hidden="1" customHeight="1" outlineLevel="1" thickBot="1">
      <c r="A4" s="6" t="s">
        <v>2</v>
      </c>
      <c r="B4" s="1">
        <v>10</v>
      </c>
      <c r="C4" s="1">
        <v>828.94</v>
      </c>
      <c r="D4" s="1"/>
      <c r="E4" s="1"/>
    </row>
    <row r="5" spans="1:5" ht="17.25" hidden="1" customHeight="1" outlineLevel="1" thickBot="1">
      <c r="A5" s="6" t="s">
        <v>3</v>
      </c>
      <c r="B5" s="1">
        <v>10</v>
      </c>
      <c r="C5" s="1">
        <v>828.94</v>
      </c>
      <c r="D5" s="1"/>
      <c r="E5" s="1"/>
    </row>
    <row r="6" spans="1:5" ht="17.25" hidden="1" customHeight="1" outlineLevel="1" thickBot="1">
      <c r="A6" s="6" t="s">
        <v>4</v>
      </c>
      <c r="B6" s="1">
        <v>10</v>
      </c>
      <c r="C6" s="1">
        <v>828.06</v>
      </c>
      <c r="D6" s="1"/>
      <c r="E6" s="1"/>
    </row>
    <row r="7" spans="1:5" ht="17.25" hidden="1" customHeight="1" outlineLevel="1" thickBot="1">
      <c r="A7" s="6" t="s">
        <v>5</v>
      </c>
      <c r="B7" s="1">
        <v>10</v>
      </c>
      <c r="C7" s="1">
        <v>826.37</v>
      </c>
      <c r="D7" s="1"/>
      <c r="E7" s="1"/>
    </row>
    <row r="8" spans="1:5" ht="17.25" hidden="1" customHeight="1" outlineLevel="1" thickBot="1">
      <c r="A8" s="6" t="s">
        <v>6</v>
      </c>
      <c r="B8" s="1">
        <v>10</v>
      </c>
      <c r="C8" s="1">
        <v>828.94</v>
      </c>
      <c r="D8" s="1"/>
      <c r="E8" s="1"/>
    </row>
    <row r="9" spans="1:5" ht="17.25" hidden="1" customHeight="1" outlineLevel="1" thickBot="1">
      <c r="A9" s="6" t="s">
        <v>7</v>
      </c>
      <c r="B9" s="1">
        <v>10</v>
      </c>
      <c r="C9" s="1">
        <v>828.94</v>
      </c>
      <c r="D9" s="1"/>
      <c r="E9" s="1"/>
    </row>
    <row r="10" spans="1:5" ht="17.25" hidden="1" customHeight="1" outlineLevel="1" thickBot="1">
      <c r="A10" s="6" t="s">
        <v>8</v>
      </c>
      <c r="B10" s="1">
        <v>10</v>
      </c>
      <c r="C10" s="1">
        <v>828.94</v>
      </c>
      <c r="D10" s="1"/>
      <c r="E10" s="1"/>
    </row>
    <row r="11" spans="1:5" ht="17.25" hidden="1" customHeight="1" outlineLevel="1" thickBot="1">
      <c r="A11" s="6" t="s">
        <v>9</v>
      </c>
      <c r="B11" s="1">
        <v>10</v>
      </c>
      <c r="C11" s="1">
        <v>828.94</v>
      </c>
      <c r="D11" s="1"/>
      <c r="E11" s="1"/>
    </row>
    <row r="12" spans="1:5" ht="17.25" hidden="1" customHeight="1" outlineLevel="1" thickBot="1">
      <c r="A12" s="6" t="s">
        <v>10</v>
      </c>
      <c r="B12" s="1">
        <v>10</v>
      </c>
      <c r="C12" s="1">
        <v>828.94</v>
      </c>
      <c r="D12" s="1"/>
      <c r="E12" s="1"/>
    </row>
    <row r="13" spans="1:5" ht="17.25" collapsed="1" thickBot="1">
      <c r="A13" s="6" t="s">
        <v>76</v>
      </c>
      <c r="B13" s="2">
        <f>ROUND(SUM(B4:B12)/$B3,2)</f>
        <v>10</v>
      </c>
      <c r="C13" s="2">
        <f>ROUND(SUM(C4:C12)/$B3,2)</f>
        <v>828.56</v>
      </c>
      <c r="D13" s="1">
        <v>10</v>
      </c>
      <c r="E13" s="1">
        <v>838.75</v>
      </c>
    </row>
    <row r="14" spans="1:5" ht="17.25" thickBot="1">
      <c r="A14" s="6" t="s">
        <v>71</v>
      </c>
      <c r="B14" s="21">
        <v>8</v>
      </c>
      <c r="C14" s="22"/>
      <c r="D14" s="22"/>
      <c r="E14" s="23"/>
    </row>
    <row r="15" spans="1:5" ht="17.25" hidden="1" customHeight="1" outlineLevel="1" thickBot="1">
      <c r="A15" s="6" t="s">
        <v>11</v>
      </c>
      <c r="B15" s="1">
        <v>3</v>
      </c>
      <c r="C15" s="1">
        <v>591.55999999999995</v>
      </c>
      <c r="D15" s="1"/>
      <c r="E15" s="1"/>
    </row>
    <row r="16" spans="1:5" ht="17.25" hidden="1" customHeight="1" outlineLevel="1" thickBot="1">
      <c r="A16" s="6" t="s">
        <v>12</v>
      </c>
      <c r="B16" s="1">
        <v>3</v>
      </c>
      <c r="C16" s="1">
        <v>591.55999999999995</v>
      </c>
      <c r="D16" s="1"/>
      <c r="E16" s="1"/>
    </row>
    <row r="17" spans="1:5" ht="17.25" hidden="1" customHeight="1" outlineLevel="1" thickBot="1">
      <c r="A17" s="6" t="s">
        <v>13</v>
      </c>
      <c r="B17" s="1">
        <v>3.4</v>
      </c>
      <c r="C17" s="1">
        <v>591.16999999999996</v>
      </c>
      <c r="D17" s="1"/>
      <c r="E17" s="1"/>
    </row>
    <row r="18" spans="1:5" ht="17.25" hidden="1" customHeight="1" outlineLevel="1" thickBot="1">
      <c r="A18" s="6" t="s">
        <v>14</v>
      </c>
      <c r="B18" s="1">
        <v>3</v>
      </c>
      <c r="C18" s="1">
        <v>593.92999999999995</v>
      </c>
      <c r="D18" s="1"/>
      <c r="E18" s="1"/>
    </row>
    <row r="19" spans="1:5" ht="17.25" hidden="1" customHeight="1" outlineLevel="1" thickBot="1">
      <c r="A19" s="6" t="s">
        <v>15</v>
      </c>
      <c r="B19" s="1">
        <v>3</v>
      </c>
      <c r="C19" s="1">
        <v>588.88</v>
      </c>
      <c r="D19" s="1"/>
      <c r="E19" s="1"/>
    </row>
    <row r="20" spans="1:5" ht="17.25" hidden="1" customHeight="1" outlineLevel="1" thickBot="1">
      <c r="A20" s="6" t="s">
        <v>16</v>
      </c>
      <c r="B20" s="1">
        <v>3</v>
      </c>
      <c r="C20" s="1">
        <v>588.49</v>
      </c>
      <c r="D20" s="1"/>
      <c r="E20" s="1"/>
    </row>
    <row r="21" spans="1:5" ht="17.25" hidden="1" customHeight="1" outlineLevel="1" thickBot="1">
      <c r="A21" s="6" t="s">
        <v>17</v>
      </c>
      <c r="B21" s="1">
        <v>3</v>
      </c>
      <c r="C21" s="1">
        <v>588.29</v>
      </c>
      <c r="D21" s="1"/>
      <c r="E21" s="1"/>
    </row>
    <row r="22" spans="1:5" ht="17.25" hidden="1" customHeight="1" outlineLevel="1" thickBot="1">
      <c r="A22" s="6" t="s">
        <v>18</v>
      </c>
      <c r="B22" s="1">
        <v>3</v>
      </c>
      <c r="C22" s="1">
        <v>588.32000000000005</v>
      </c>
      <c r="D22" s="1"/>
      <c r="E22" s="1"/>
    </row>
    <row r="23" spans="1:5" ht="17.25" collapsed="1" thickBot="1">
      <c r="A23" s="6" t="s">
        <v>76</v>
      </c>
      <c r="B23" s="3">
        <f>ROUND(SUM(B15:B22)/$B14, 2)</f>
        <v>3.05</v>
      </c>
      <c r="C23" s="3">
        <f>ROUND(SUM(C15:C22)/$B14, 2)</f>
        <v>590.28</v>
      </c>
      <c r="D23" s="1">
        <v>3</v>
      </c>
      <c r="E23" s="1">
        <v>590.35</v>
      </c>
    </row>
    <row r="24" spans="1:5" ht="17.25" thickBot="1">
      <c r="A24" s="8" t="s">
        <v>72</v>
      </c>
      <c r="B24" s="21">
        <v>12</v>
      </c>
      <c r="C24" s="22"/>
      <c r="D24" s="22"/>
      <c r="E24" s="23"/>
    </row>
    <row r="25" spans="1:5" ht="17.25" hidden="1" customHeight="1" outlineLevel="1" thickBot="1">
      <c r="A25" s="6" t="s">
        <v>19</v>
      </c>
      <c r="B25" s="1">
        <v>19.8</v>
      </c>
      <c r="C25" s="1">
        <v>1653.16</v>
      </c>
      <c r="D25" s="1"/>
      <c r="E25" s="1"/>
    </row>
    <row r="26" spans="1:5" ht="17.25" hidden="1" customHeight="1" outlineLevel="1" thickBot="1">
      <c r="A26" s="6" t="s">
        <v>20</v>
      </c>
      <c r="B26" s="1">
        <v>18</v>
      </c>
      <c r="C26" s="1">
        <v>1486.68</v>
      </c>
      <c r="D26" s="1"/>
      <c r="E26" s="1"/>
    </row>
    <row r="27" spans="1:5" ht="17.25" hidden="1" customHeight="1" outlineLevel="1" thickBot="1">
      <c r="A27" s="6" t="s">
        <v>21</v>
      </c>
      <c r="B27" s="1">
        <v>13.6</v>
      </c>
      <c r="C27" s="1">
        <v>1572.9</v>
      </c>
      <c r="D27" s="1"/>
      <c r="E27" s="1"/>
    </row>
    <row r="28" spans="1:5" ht="17.25" hidden="1" customHeight="1" outlineLevel="1" thickBot="1">
      <c r="A28" s="6" t="s">
        <v>22</v>
      </c>
      <c r="B28" s="1">
        <v>10.8</v>
      </c>
      <c r="C28" s="1">
        <v>1026</v>
      </c>
      <c r="D28" s="1"/>
      <c r="E28" s="1"/>
    </row>
    <row r="29" spans="1:5" ht="17.25" hidden="1" customHeight="1" outlineLevel="1" thickBot="1">
      <c r="A29" s="6" t="s">
        <v>23</v>
      </c>
      <c r="B29" s="1">
        <v>15</v>
      </c>
      <c r="C29" s="1">
        <v>1688.63</v>
      </c>
      <c r="D29" s="1"/>
      <c r="E29" s="1"/>
    </row>
    <row r="30" spans="1:5" ht="17.25" hidden="1" customHeight="1" outlineLevel="1" thickBot="1">
      <c r="A30" s="6" t="s">
        <v>24</v>
      </c>
      <c r="B30" s="1">
        <v>13</v>
      </c>
      <c r="C30" s="1">
        <v>1285.3599999999999</v>
      </c>
      <c r="D30" s="1"/>
      <c r="E30" s="1"/>
    </row>
    <row r="31" spans="1:5" ht="17.25" hidden="1" customHeight="1" outlineLevel="1" thickBot="1">
      <c r="A31" s="6" t="s">
        <v>25</v>
      </c>
      <c r="B31" s="1">
        <v>11</v>
      </c>
      <c r="C31" s="1">
        <v>1127.3900000000001</v>
      </c>
      <c r="D31" s="1"/>
      <c r="E31" s="1"/>
    </row>
    <row r="32" spans="1:5" ht="17.25" hidden="1" customHeight="1" outlineLevel="1" thickBot="1">
      <c r="A32" s="6" t="s">
        <v>26</v>
      </c>
      <c r="B32" s="1">
        <v>10</v>
      </c>
      <c r="C32" s="1">
        <v>1005.63</v>
      </c>
      <c r="D32" s="1"/>
      <c r="E32" s="1"/>
    </row>
    <row r="33" spans="1:5" ht="17.25" hidden="1" customHeight="1" outlineLevel="1" thickBot="1">
      <c r="A33" s="6" t="s">
        <v>27</v>
      </c>
      <c r="B33" s="1">
        <v>12</v>
      </c>
      <c r="C33" s="1">
        <v>1255.48</v>
      </c>
      <c r="D33" s="1"/>
      <c r="E33" s="1"/>
    </row>
    <row r="34" spans="1:5" ht="17.25" hidden="1" customHeight="1" outlineLevel="1" thickBot="1">
      <c r="A34" s="6" t="s">
        <v>28</v>
      </c>
      <c r="B34" s="1">
        <v>11.4</v>
      </c>
      <c r="C34" s="1">
        <v>1151.1199999999999</v>
      </c>
      <c r="D34" s="1"/>
      <c r="E34" s="1"/>
    </row>
    <row r="35" spans="1:5" ht="17.25" hidden="1" customHeight="1" outlineLevel="1" thickBot="1">
      <c r="A35" s="6" t="s">
        <v>29</v>
      </c>
      <c r="B35" s="1">
        <v>11.1</v>
      </c>
      <c r="C35" s="1">
        <v>1161.68</v>
      </c>
      <c r="D35" s="1"/>
      <c r="E35" s="1"/>
    </row>
    <row r="36" spans="1:5" ht="17.25" hidden="1" customHeight="1" outlineLevel="1" thickBot="1">
      <c r="A36" s="6" t="s">
        <v>30</v>
      </c>
      <c r="B36" s="1">
        <v>10</v>
      </c>
      <c r="C36" s="1">
        <v>1035.94</v>
      </c>
      <c r="D36" s="1"/>
      <c r="E36" s="1"/>
    </row>
    <row r="37" spans="1:5" ht="17.25" collapsed="1" thickBot="1">
      <c r="A37" s="6" t="s">
        <v>76</v>
      </c>
      <c r="B37" s="3">
        <f>ROUND(SUM(B25:B36)/$B24,2)</f>
        <v>12.98</v>
      </c>
      <c r="C37" s="3">
        <f>ROUND(SUM(C25:C36)/$B24,2)</f>
        <v>1287.5</v>
      </c>
      <c r="D37" s="1">
        <v>12.83</v>
      </c>
      <c r="E37" s="1">
        <v>1209.0999999999999</v>
      </c>
    </row>
    <row r="38" spans="1:5" ht="17.25" thickBot="1">
      <c r="A38" s="8" t="s">
        <v>73</v>
      </c>
      <c r="B38" s="21">
        <v>11</v>
      </c>
      <c r="C38" s="22"/>
      <c r="D38" s="22"/>
      <c r="E38" s="23"/>
    </row>
    <row r="39" spans="1:5" ht="17.25" hidden="1" customHeight="1" outlineLevel="1" thickBot="1">
      <c r="A39" s="6" t="s">
        <v>31</v>
      </c>
      <c r="B39" s="1">
        <v>4</v>
      </c>
      <c r="C39" s="1">
        <v>1308.44</v>
      </c>
      <c r="D39" s="1"/>
      <c r="E39" s="1"/>
    </row>
    <row r="40" spans="1:5" ht="17.25" hidden="1" customHeight="1" outlineLevel="1" thickBot="1">
      <c r="A40" s="6" t="s">
        <v>32</v>
      </c>
      <c r="B40" s="1">
        <v>3.9</v>
      </c>
      <c r="C40" s="1">
        <v>1759.75</v>
      </c>
      <c r="D40" s="1"/>
      <c r="E40" s="1"/>
    </row>
    <row r="41" spans="1:5" ht="17.25" hidden="1" customHeight="1" outlineLevel="1" thickBot="1">
      <c r="A41" s="6" t="s">
        <v>33</v>
      </c>
      <c r="B41" s="1">
        <v>3</v>
      </c>
      <c r="C41" s="1">
        <v>986.47</v>
      </c>
      <c r="D41" s="1"/>
      <c r="E41" s="1"/>
    </row>
    <row r="42" spans="1:5" ht="17.25" hidden="1" customHeight="1" outlineLevel="1" thickBot="1">
      <c r="A42" s="6" t="s">
        <v>34</v>
      </c>
      <c r="B42" s="1">
        <v>3</v>
      </c>
      <c r="C42" s="1">
        <v>763.8</v>
      </c>
      <c r="D42" s="1"/>
      <c r="E42" s="1"/>
    </row>
    <row r="43" spans="1:5" ht="17.25" hidden="1" customHeight="1" outlineLevel="1" thickBot="1">
      <c r="A43" s="6" t="s">
        <v>35</v>
      </c>
      <c r="B43" s="1">
        <v>3</v>
      </c>
      <c r="C43" s="1">
        <v>1067.95</v>
      </c>
      <c r="D43" s="1"/>
      <c r="E43" s="1"/>
    </row>
    <row r="44" spans="1:5" ht="17.25" hidden="1" customHeight="1" outlineLevel="1" thickBot="1">
      <c r="A44" s="6" t="s">
        <v>36</v>
      </c>
      <c r="B44" s="1">
        <v>3</v>
      </c>
      <c r="C44" s="1">
        <v>967.52</v>
      </c>
      <c r="D44" s="1"/>
      <c r="E44" s="1"/>
    </row>
    <row r="45" spans="1:5" ht="17.25" hidden="1" customHeight="1" outlineLevel="1" thickBot="1">
      <c r="A45" s="6" t="s">
        <v>37</v>
      </c>
      <c r="B45" s="1">
        <v>3</v>
      </c>
      <c r="C45" s="1">
        <v>853.49</v>
      </c>
      <c r="D45" s="1"/>
      <c r="E45" s="1"/>
    </row>
    <row r="46" spans="1:5" ht="17.25" hidden="1" customHeight="1" outlineLevel="1" thickBot="1">
      <c r="A46" s="6" t="s">
        <v>38</v>
      </c>
      <c r="B46" s="1">
        <v>2.9</v>
      </c>
      <c r="C46" s="1">
        <v>739.55</v>
      </c>
      <c r="D46" s="1"/>
      <c r="E46" s="1"/>
    </row>
    <row r="47" spans="1:5" ht="17.25" hidden="1" customHeight="1" outlineLevel="1" thickBot="1">
      <c r="A47" s="6" t="s">
        <v>39</v>
      </c>
      <c r="B47" s="1">
        <v>3</v>
      </c>
      <c r="C47" s="1">
        <v>957.21</v>
      </c>
      <c r="D47" s="1"/>
      <c r="E47" s="1"/>
    </row>
    <row r="48" spans="1:5" ht="17.25" hidden="1" customHeight="1" outlineLevel="1" thickBot="1">
      <c r="A48" s="6" t="s">
        <v>40</v>
      </c>
      <c r="B48" s="1">
        <v>3</v>
      </c>
      <c r="C48" s="1">
        <v>993.95</v>
      </c>
      <c r="D48" s="1"/>
      <c r="E48" s="1"/>
    </row>
    <row r="49" spans="1:5" ht="17.25" hidden="1" customHeight="1" outlineLevel="1" thickBot="1">
      <c r="A49" s="6" t="s">
        <v>41</v>
      </c>
      <c r="B49" s="1">
        <v>3</v>
      </c>
      <c r="C49" s="1">
        <v>820.45</v>
      </c>
      <c r="D49" s="1"/>
      <c r="E49" s="1"/>
    </row>
    <row r="50" spans="1:5" ht="17.25" collapsed="1" thickBot="1">
      <c r="A50" s="6" t="s">
        <v>76</v>
      </c>
      <c r="B50" s="2">
        <f>ROUND(SUM(B39:B49)/$B38,2)</f>
        <v>3.16</v>
      </c>
      <c r="C50" s="2">
        <f>ROUND(SUM(C39:C49)/$B38,2)</f>
        <v>1019.87</v>
      </c>
      <c r="D50" s="1">
        <v>4.72</v>
      </c>
      <c r="E50" s="1">
        <v>1087.5999999999999</v>
      </c>
    </row>
    <row r="51" spans="1:5" ht="17.25" thickBot="1">
      <c r="A51" s="8" t="s">
        <v>74</v>
      </c>
      <c r="B51" s="21">
        <v>8</v>
      </c>
      <c r="C51" s="22"/>
      <c r="D51" s="22"/>
      <c r="E51" s="23"/>
    </row>
    <row r="52" spans="1:5" ht="17.25" hidden="1" customHeight="1" outlineLevel="1" thickBot="1">
      <c r="A52" s="5" t="s">
        <v>42</v>
      </c>
      <c r="B52" s="1">
        <v>15</v>
      </c>
      <c r="C52" s="1">
        <v>1687.93</v>
      </c>
      <c r="D52" s="1"/>
      <c r="E52" s="1"/>
    </row>
    <row r="53" spans="1:5" ht="17.25" hidden="1" customHeight="1" outlineLevel="1" thickBot="1">
      <c r="A53" s="5" t="s">
        <v>43</v>
      </c>
      <c r="B53" s="1">
        <v>13</v>
      </c>
      <c r="C53" s="1">
        <v>1507.94</v>
      </c>
      <c r="D53" s="1"/>
      <c r="E53" s="1"/>
    </row>
    <row r="54" spans="1:5" ht="17.25" hidden="1" customHeight="1" outlineLevel="1" thickBot="1">
      <c r="A54" s="5" t="s">
        <v>44</v>
      </c>
      <c r="B54" s="1">
        <v>11.9</v>
      </c>
      <c r="C54" s="1">
        <v>1516.36</v>
      </c>
      <c r="D54" s="1"/>
      <c r="E54" s="1"/>
    </row>
    <row r="55" spans="1:5" ht="17.25" hidden="1" customHeight="1" outlineLevel="1" thickBot="1">
      <c r="A55" s="5" t="s">
        <v>45</v>
      </c>
      <c r="B55" s="1">
        <v>11</v>
      </c>
      <c r="C55" s="1">
        <v>1336.1</v>
      </c>
      <c r="D55" s="1"/>
      <c r="E55" s="1"/>
    </row>
    <row r="56" spans="1:5" ht="17.25" hidden="1" customHeight="1" outlineLevel="1" thickBot="1">
      <c r="A56" s="5" t="s">
        <v>46</v>
      </c>
      <c r="B56" s="1">
        <v>15</v>
      </c>
      <c r="C56" s="1">
        <v>1902.43</v>
      </c>
      <c r="D56" s="1"/>
      <c r="E56" s="1"/>
    </row>
    <row r="57" spans="1:5" ht="17.25" hidden="1" customHeight="1" outlineLevel="1" thickBot="1">
      <c r="A57" s="5" t="s">
        <v>47</v>
      </c>
      <c r="B57" s="1">
        <v>12.9</v>
      </c>
      <c r="C57" s="1">
        <v>1663.23</v>
      </c>
      <c r="D57" s="1"/>
      <c r="E57" s="1"/>
    </row>
    <row r="58" spans="1:5" ht="17.25" hidden="1" customHeight="1" outlineLevel="1" thickBot="1">
      <c r="A58" s="5" t="s">
        <v>48</v>
      </c>
      <c r="B58" s="1">
        <v>11.8</v>
      </c>
      <c r="C58" s="1">
        <v>1529.97</v>
      </c>
      <c r="D58" s="1"/>
      <c r="E58" s="1"/>
    </row>
    <row r="59" spans="1:5" ht="17.25" hidden="1" customHeight="1" outlineLevel="1" thickBot="1">
      <c r="A59" s="5" t="s">
        <v>49</v>
      </c>
      <c r="B59" s="1">
        <v>11</v>
      </c>
      <c r="C59" s="1">
        <v>1145.69</v>
      </c>
      <c r="D59" s="1"/>
      <c r="E59" s="1"/>
    </row>
    <row r="60" spans="1:5" ht="17.25" collapsed="1" thickBot="1">
      <c r="A60" s="6" t="s">
        <v>76</v>
      </c>
      <c r="B60" s="3">
        <f>ROUND(SUM(B52:B59)/$B51,2)</f>
        <v>12.7</v>
      </c>
      <c r="C60" s="3">
        <f>ROUND(SUM(C52:C59)/$B51,2)</f>
        <v>1536.21</v>
      </c>
      <c r="D60" s="1">
        <v>12.26</v>
      </c>
      <c r="E60" s="1">
        <v>1391.4</v>
      </c>
    </row>
    <row r="61" spans="1:5" ht="17.25" thickBot="1">
      <c r="A61" s="8" t="s">
        <v>75</v>
      </c>
      <c r="B61" s="21">
        <v>8</v>
      </c>
      <c r="C61" s="22"/>
      <c r="D61" s="22"/>
      <c r="E61" s="23"/>
    </row>
    <row r="62" spans="1:5" ht="17.25" hidden="1" customHeight="1" outlineLevel="1" thickBot="1">
      <c r="A62" s="5" t="s">
        <v>50</v>
      </c>
      <c r="B62" s="1">
        <v>4</v>
      </c>
      <c r="C62" s="1">
        <v>1465.57</v>
      </c>
      <c r="D62" s="1"/>
      <c r="E62" s="1"/>
    </row>
    <row r="63" spans="1:5" ht="17.25" hidden="1" customHeight="1" outlineLevel="1" thickBot="1">
      <c r="A63" s="5" t="s">
        <v>51</v>
      </c>
      <c r="B63" s="1">
        <v>4</v>
      </c>
      <c r="C63" s="1">
        <v>1251.74</v>
      </c>
      <c r="D63" s="1"/>
      <c r="E63" s="1"/>
    </row>
    <row r="64" spans="1:5" ht="17.25" hidden="1" customHeight="1" outlineLevel="1" thickBot="1">
      <c r="A64" s="5" t="s">
        <v>52</v>
      </c>
      <c r="B64" s="1">
        <v>3</v>
      </c>
      <c r="C64" s="1">
        <v>1134.53</v>
      </c>
      <c r="D64" s="1"/>
      <c r="E64" s="1"/>
    </row>
    <row r="65" spans="1:5" ht="17.25" hidden="1" customHeight="1" outlineLevel="1" thickBot="1">
      <c r="A65" s="5" t="s">
        <v>53</v>
      </c>
      <c r="B65" s="1">
        <v>3</v>
      </c>
      <c r="C65" s="1">
        <v>817.78</v>
      </c>
      <c r="D65" s="1"/>
      <c r="E65" s="1"/>
    </row>
    <row r="66" spans="1:5" ht="17.25" hidden="1" customHeight="1" outlineLevel="1" thickBot="1">
      <c r="A66" s="5" t="s">
        <v>54</v>
      </c>
      <c r="B66" s="1">
        <v>4</v>
      </c>
      <c r="C66" s="1">
        <v>1379.81</v>
      </c>
      <c r="D66" s="1"/>
      <c r="E66" s="1"/>
    </row>
    <row r="67" spans="1:5" ht="17.25" hidden="1" customHeight="1" outlineLevel="1" thickBot="1">
      <c r="A67" s="5" t="s">
        <v>55</v>
      </c>
      <c r="B67" s="1">
        <v>3</v>
      </c>
      <c r="C67" s="1">
        <v>1265.18</v>
      </c>
      <c r="D67" s="1"/>
      <c r="E67" s="1"/>
    </row>
    <row r="68" spans="1:5" ht="17.25" hidden="1" customHeight="1" outlineLevel="1" thickBot="1">
      <c r="A68" s="5" t="s">
        <v>56</v>
      </c>
      <c r="B68" s="1">
        <v>3</v>
      </c>
      <c r="C68" s="1">
        <v>1117.1400000000001</v>
      </c>
      <c r="D68" s="1"/>
      <c r="E68" s="1"/>
    </row>
    <row r="69" spans="1:5" ht="17.25" hidden="1" customHeight="1" outlineLevel="1" thickBot="1">
      <c r="A69" s="5" t="s">
        <v>57</v>
      </c>
      <c r="B69" s="1">
        <v>3</v>
      </c>
      <c r="C69" s="1">
        <v>870.55</v>
      </c>
      <c r="D69" s="1"/>
      <c r="E69" s="1"/>
    </row>
    <row r="70" spans="1:5" ht="17.25" collapsed="1" thickBot="1">
      <c r="A70" s="6" t="s">
        <v>76</v>
      </c>
      <c r="B70" s="2">
        <f>ROUND(SUM(B62:B69)/$B61,2)</f>
        <v>3.38</v>
      </c>
      <c r="C70" s="2">
        <f>ROUND(SUM(C62:C69)/$B61,2)</f>
        <v>1162.79</v>
      </c>
      <c r="D70" s="1">
        <v>5</v>
      </c>
      <c r="E70" s="1">
        <v>1134.43</v>
      </c>
    </row>
  </sheetData>
  <mergeCells count="8">
    <mergeCell ref="B51:E51"/>
    <mergeCell ref="B61:E61"/>
    <mergeCell ref="B1:C1"/>
    <mergeCell ref="D1:E1"/>
    <mergeCell ref="B3:E3"/>
    <mergeCell ref="B14:E14"/>
    <mergeCell ref="B24:E24"/>
    <mergeCell ref="B38:E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楊宏傑</dc:creator>
  <cp:lastModifiedBy>楊宏傑</cp:lastModifiedBy>
  <dcterms:created xsi:type="dcterms:W3CDTF">2026-04-07T04:28:08Z</dcterms:created>
  <dcterms:modified xsi:type="dcterms:W3CDTF">2026-04-29T12:24:42Z</dcterms:modified>
</cp:coreProperties>
</file>